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hi\OneDrive\Documentos\Stash\repos\FNX Realistic Failures System\RF\docs\balance\"/>
    </mc:Choice>
  </mc:AlternateContent>
  <xr:revisionPtr revIDLastSave="0" documentId="13_ncr:1_{D642B3D8-3466-4633-A5EC-8E0EFD58609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umen" sheetId="1" r:id="rId1"/>
    <sheet name="Bajo" sheetId="2" r:id="rId2"/>
    <sheet name="Moderado" sheetId="3" r:id="rId3"/>
    <sheet name="Alto" sheetId="4" r:id="rId4"/>
    <sheet name="7700" sheetId="5" r:id="rId5"/>
    <sheet name="Gráficas" sheetId="6" r:id="rId6"/>
    <sheet name="Configuración" sheetId="7" r:id="rId7"/>
  </sheets>
  <calcPr calcId="0"/>
</workbook>
</file>

<file path=xl/sharedStrings.xml><?xml version="1.0" encoding="utf-8"?>
<sst xmlns="http://schemas.openxmlformats.org/spreadsheetml/2006/main" count="259" uniqueCount="98">
  <si>
    <t>Balance del modo Realistic — generado automáticamente con el motor vigente</t>
  </si>
  <si>
    <t>Fallas en vuelo por perfil y severidad; semilla de tierra (arranque de sesión) aparte. catálogo curado: 173 leves / 179 graves / 32 críticas. Estimación global por severidad (sin presets ni fases). Regenerar: docs/balance/balance.cmd</t>
  </si>
  <si>
    <t>Referencia con desgaste medio (25 %) — cada 10 horas de vuelo</t>
  </si>
  <si>
    <t>Experiencia por vuelo (3 h; desgaste 0 / 50 / 100 %)</t>
  </si>
  <si>
    <t>Perfil</t>
  </si>
  <si>
    <t>Leves</t>
  </si>
  <si>
    <t>Graves</t>
  </si>
  <si>
    <t>Críticas</t>
  </si>
  <si>
    <t>Total</t>
  </si>
  <si>
    <t>Desgaste</t>
  </si>
  <si>
    <t>E[fallas]</t>
  </si>
  <si>
    <t>P(≥1 falla)</t>
  </si>
  <si>
    <t>P(≥1 grave)</t>
  </si>
  <si>
    <t>P(≥1 crítica)</t>
  </si>
  <si>
    <t>1 crítica cada</t>
  </si>
  <si>
    <t>Bajo</t>
  </si>
  <si>
    <t>Bajo 0 %</t>
  </si>
  <si>
    <t>—</t>
  </si>
  <si>
    <t>Moderado</t>
  </si>
  <si>
    <t>Bajo 50 %</t>
  </si>
  <si>
    <t>Alto</t>
  </si>
  <si>
    <t>Bajo 100 %</t>
  </si>
  <si>
    <t>7700</t>
  </si>
  <si>
    <t>Moderado 0 %</t>
  </si>
  <si>
    <t>Moderado 50 %</t>
  </si>
  <si>
    <t>Moderado 100 %</t>
  </si>
  <si>
    <t>Estadísticas (cada 10 h, promedio entre desgastes 0–100 %)</t>
  </si>
  <si>
    <t>Alto 0 %</t>
  </si>
  <si>
    <t>Graves prom.</t>
  </si>
  <si>
    <t>Graves mín.</t>
  </si>
  <si>
    <t>Graves máx.</t>
  </si>
  <si>
    <t>Críticas prom.</t>
  </si>
  <si>
    <t>1 crítica cada… (25 %)</t>
  </si>
  <si>
    <t>Alto 50 %</t>
  </si>
  <si>
    <t>Alto 100 %</t>
  </si>
  <si>
    <t>7700 0 %</t>
  </si>
  <si>
    <t>7700 50 %</t>
  </si>
  <si>
    <t>7700 100 %</t>
  </si>
  <si>
    <t>Ancla temporal del desgaste (vuelos de 3 h; el seed va de 0,1 a 0,6 %/h)</t>
  </si>
  <si>
    <t>Tasa del sistema</t>
  </si>
  <si>
    <t>Hasta 25 %</t>
  </si>
  <si>
    <t>Hasta 50 %</t>
  </si>
  <si>
    <t>Hasta 80 % (aviso)</t>
  </si>
  <si>
    <t>0,1 %/h</t>
  </si>
  <si>
    <t>0,3 %/h</t>
  </si>
  <si>
    <t>0,6 %/h</t>
  </si>
  <si>
    <t>Perfil Bajo (nivel 1)</t>
  </si>
  <si>
    <t>Multiplicador ×0,75 · desgaste máx ×2 · tope agravación 3 · tope tierra 1 · tregua crítica —</t>
  </si>
  <si>
    <t>Cada 1 h de vuelo</t>
  </si>
  <si>
    <t>Semilla de tierra (fallas esperadas al iniciar cada vuelo)</t>
  </si>
  <si>
    <t>Fallas al inicio</t>
  </si>
  <si>
    <t>Cada 10 h de vuelo</t>
  </si>
  <si>
    <t>Experiencia por vuelo (3 h)</t>
  </si>
  <si>
    <t>Cada 100 h de vuelo</t>
  </si>
  <si>
    <t>Datos de la gráfica: E[fallas por vuelo de 3 h] por severidad</t>
  </si>
  <si>
    <t>Perfil Moderado (nivel 2)</t>
  </si>
  <si>
    <t>Multiplicador ×1,1 · desgaste máx ×2,1 · tope agravación 5 · tope tierra 2 · tregua crítica 120 min</t>
  </si>
  <si>
    <t>Perfil Alto (nivel 3)</t>
  </si>
  <si>
    <t>Multiplicador ×2,5 · desgaste máx ×2,2 · tope agravación 8 · tope tierra 3 · tregua crítica 60 min</t>
  </si>
  <si>
    <t>Perfil 7700 (nivel 4)</t>
  </si>
  <si>
    <t>Multiplicador ×4,1 · desgaste máx ×2,3 · tope agravación 10 · tope tierra 5 · tregua crítica 30 min</t>
  </si>
  <si>
    <t>Tendencias del balance</t>
  </si>
  <si>
    <t>Datos: E[fallas por vuelo de 3 h] según desgaste (fuente de la gráfica de experiencia)</t>
  </si>
  <si>
    <t>Configuración del código con la que se generó este reporte</t>
  </si>
  <si>
    <t>Valores leídos del código al generar el archivo (FailureEngineSettings y perfiles del catálogo): si cambiaron parámetros, regenerar para reflejarlos aquí.</t>
  </si>
  <si>
    <t>Física del motor (Physics)</t>
  </si>
  <si>
    <t>Perfiles vigentes (defaults de código)</t>
  </si>
  <si>
    <t>Parámetro</t>
  </si>
  <si>
    <t>Valor</t>
  </si>
  <si>
    <t>Multiplicador</t>
  </si>
  <si>
    <t>Desgaste máx</t>
  </si>
  <si>
    <t>Tope agravación</t>
  </si>
  <si>
    <t>Tope tierra</t>
  </si>
  <si>
    <t>Tregua crítica</t>
  </si>
  <si>
    <t>Tasa base por falla leve elegible en vuelo, eventos/h (FailureRatePerHourBase)</t>
  </si>
  <si>
    <t>Probabilidad base por falla leve en la semilla de tierra (GroundSeedBaseProbability)</t>
  </si>
  <si>
    <t>120 min</t>
  </si>
  <si>
    <t>Multiplicador de tasa: leves (SeverityRateMultiplier.Minor)</t>
  </si>
  <si>
    <t>60 min</t>
  </si>
  <si>
    <t>Multiplicador de tasa: graves (SeverityRateMultiplier.Major)</t>
  </si>
  <si>
    <t>30 min</t>
  </si>
  <si>
    <t>Multiplicador de tasa: críticas (SeverityRateMultiplier.Critical)</t>
  </si>
  <si>
    <t>Peso de agravamiento: leves (AggravationWeights.Minor)</t>
  </si>
  <si>
    <t>Peso de agravamiento: graves (AggravationWeights.Major)</t>
  </si>
  <si>
    <t>Peso de agravamiento: críticas (AggravationWeights.Critical)</t>
  </si>
  <si>
    <t>Agravación extra por misma ATA simultánea (SameAtaAggravationExtra)</t>
  </si>
  <si>
    <t>Modo Realistic (RealisticMode)</t>
  </si>
  <si>
    <t>Intervalo de evaluación del motor, s (EvaluationIntervalSeconds)</t>
  </si>
  <si>
    <t>Límite de la cola de preparadas (PreparedQueueLimit)</t>
  </si>
  <si>
    <t>Semilla de tierra habilitada (GroundFailureEnabled)</t>
  </si>
  <si>
    <t>Sí</t>
  </si>
  <si>
    <t>Tope de líneas de thinking (ThinkingLinesCap)</t>
  </si>
  <si>
    <t>Tope de delta de evaluación, s (EvaluationDeltaCapSeconds)</t>
  </si>
  <si>
    <t>Desgaste (Wear) y ventanas OFP</t>
  </si>
  <si>
    <t>Umbral de aviso de sistema castigado, % (ThresholdNoticePct)</t>
  </si>
  <si>
    <t>Tope de sistemas con desgaste por sesión, 0 = sin tope (SessionSystemsCap)</t>
  </si>
  <si>
    <t>Ventana previa al start, h (PreStartWindowHours)</t>
  </si>
  <si>
    <t>Ventana posterior al arribo, h (PostArrivalWindowHours)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</si>
</sst>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\ %"/>
    <numFmt numFmtId="165" formatCode="0.0\ &quot; %&quot;"/>
    <numFmt numFmtId="166" formatCode="0\ &quot;vuelos&quot;"/>
    <numFmt numFmtId="167" formatCode="0.0\ &quot;h&quot;"/>
    <numFmt numFmtId="168" formatCode="0.000"/>
  </numFmts>
  <fonts count="10" x14ac:knownFonts="1">
    <font>
      <sz val="11"/>
      <name val="Calibri"/>
    </font>
    <font>
      <b/>
      <sz val="11"/>
      <name val="Calibri"/>
    </font>
    <font>
      <b/>
      <sz val="14"/>
      <name val="Calibri"/>
    </font>
    <font>
      <i/>
      <sz val="10"/>
      <color rgb="FF6B7488"/>
      <name val="Calibri"/>
    </font>
    <font>
      <b/>
      <sz val="11"/>
      <color rgb="FF4CAF50"/>
      <name val="Calibri"/>
    </font>
    <font>
      <b/>
      <sz val="11"/>
      <color rgb="FFE7EBF3"/>
      <name val="Calibri"/>
    </font>
    <font>
      <sz val="11"/>
      <color rgb="FF6B7488"/>
      <name val="Calibri"/>
    </font>
    <font>
      <b/>
      <sz val="11"/>
      <color rgb="FFF59E0B"/>
      <name val="Calibri"/>
    </font>
    <font>
      <b/>
      <sz val="11"/>
      <color rgb="FFEF4444"/>
      <name val="Calibri"/>
    </font>
    <font>
      <b/>
      <sz val="11"/>
      <color rgb="FF8B5CF6"/>
      <name val="Calibri"/>
    </font>
  </fonts>
  <fills count="4">
    <fill>
      <patternFill patternType="none"/>
    </fill>
    <fill>
      <patternFill patternType="gray125"/>
    </fill>
    <fill>
      <patternFill patternType="solid">
        <fgColor rgb="FF232A38"/>
      </patternFill>
    </fill>
    <fill>
      <patternFill patternType="solid">
        <fgColor rgb="FFEFF6FF"/>
      </patternFill>
    </fill>
  </fills>
  <borders count="2">
    <border>
      <left/>
      <right/>
      <top/>
      <bottom/>
      <diagonal/>
    </border>
    <border>
      <left/>
      <right/>
      <top style="thin">
        <color rgb="FF1A2029"/>
      </top>
      <bottom style="thin">
        <color rgb="FF1A2029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4" fillId="0" borderId="0" xfId="0" applyFont="1"/>
    <xf numFmtId="0" fontId="5" fillId="2" borderId="0" xfId="0" applyFont="1" applyFill="1"/>
    <xf numFmtId="164" fontId="0" fillId="0" borderId="1" xfId="0" applyNumberFormat="1" applyBorder="1"/>
    <xf numFmtId="164" fontId="0" fillId="3" borderId="1" xfId="0" applyNumberFormat="1" applyFill="1" applyBorder="1"/>
    <xf numFmtId="2" fontId="0" fillId="0" borderId="1" xfId="0" applyNumberFormat="1" applyBorder="1"/>
    <xf numFmtId="2" fontId="0" fillId="3" borderId="1" xfId="0" applyNumberFormat="1" applyFill="1" applyBorder="1"/>
    <xf numFmtId="2" fontId="6" fillId="0" borderId="1" xfId="0" applyNumberFormat="1" applyFont="1" applyBorder="1"/>
    <xf numFmtId="2" fontId="6" fillId="3" borderId="1" xfId="0" applyNumberFormat="1" applyFont="1" applyFill="1" applyBorder="1"/>
    <xf numFmtId="0" fontId="5" fillId="2" borderId="1" xfId="0" applyFont="1" applyFill="1" applyBorder="1"/>
    <xf numFmtId="165" fontId="0" fillId="0" borderId="1" xfId="0" applyNumberFormat="1" applyBorder="1"/>
    <xf numFmtId="165" fontId="0" fillId="3" borderId="1" xfId="0" applyNumberFormat="1" applyFill="1" applyBorder="1"/>
    <xf numFmtId="0" fontId="0" fillId="0" borderId="1" xfId="0" applyBorder="1"/>
    <xf numFmtId="0" fontId="0" fillId="3" borderId="1" xfId="0" applyFill="1" applyBorder="1"/>
    <xf numFmtId="0" fontId="7" fillId="0" borderId="0" xfId="0" applyFont="1"/>
    <xf numFmtId="166" fontId="0" fillId="0" borderId="1" xfId="0" applyNumberFormat="1" applyBorder="1"/>
    <xf numFmtId="166" fontId="0" fillId="3" borderId="1" xfId="0" applyNumberFormat="1" applyFill="1" applyBorder="1"/>
    <xf numFmtId="0" fontId="8" fillId="0" borderId="0" xfId="0" applyFont="1"/>
    <xf numFmtId="0" fontId="9" fillId="0" borderId="0" xfId="0" applyFont="1"/>
    <xf numFmtId="0" fontId="4" fillId="0" borderId="1" xfId="0" applyFont="1" applyBorder="1"/>
    <xf numFmtId="0" fontId="7" fillId="0" borderId="1" xfId="0" applyFont="1" applyBorder="1"/>
    <xf numFmtId="0" fontId="8" fillId="0" borderId="1" xfId="0" applyFont="1" applyBorder="1"/>
    <xf numFmtId="0" fontId="9" fillId="0" borderId="1" xfId="0" applyFont="1" applyBorder="1"/>
    <xf numFmtId="167" fontId="6" fillId="0" borderId="1" xfId="0" applyNumberFormat="1" applyFont="1" applyBorder="1"/>
    <xf numFmtId="167" fontId="0" fillId="0" borderId="1" xfId="0" applyNumberFormat="1" applyBorder="1"/>
    <xf numFmtId="1" fontId="0" fillId="0" borderId="1" xfId="0" applyNumberFormat="1" applyBorder="1"/>
    <xf numFmtId="168" fontId="0" fillId="0" borderId="1" xfId="0" applyNumberFormat="1" applyBorder="1"/>
    <xf numFmtId="0" fontId="2" fillId="0" borderId="0" xfId="0" applyFont="1"/>
    <xf numFmtId="0" fontId="0" fillId="0" borderId="0" xfId="0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800" b="0"/>
            </a:pPr>
            <a:r>
              <a:t>Perfil Bajo: fallas esperadas por vuelo de 3 h, según desgaste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Leves</c:v>
          </c:tx>
          <c:spPr>
            <a:ln>
              <a:solidFill>
                <a:srgbClr val="4CAF50"/>
              </a:solidFill>
              <a:prstDash val="solid"/>
            </a:ln>
          </c:spPr>
          <c:marker>
            <c:symbol val="square"/>
            <c:size val="5"/>
          </c:marker>
          <c:cat>
            <c:numRef>
              <c:f>Bajo!$I$22:$I$26</c:f>
              <c:numCache>
                <c:formatCode>0\ %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Bajo!$J$22:$J$26</c:f>
              <c:numCache>
                <c:formatCode>0.00</c:formatCode>
                <c:ptCount val="5"/>
                <c:pt idx="0">
                  <c:v>0.11250000000000002</c:v>
                </c:pt>
                <c:pt idx="1">
                  <c:v>0.14062500000000003</c:v>
                </c:pt>
                <c:pt idx="2">
                  <c:v>0.16875000000000001</c:v>
                </c:pt>
                <c:pt idx="3">
                  <c:v>0.19687500000000005</c:v>
                </c:pt>
                <c:pt idx="4">
                  <c:v>0.22500000000000003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31-4ACB-BFC8-816ECE7BDD21}"/>
            </c:ext>
          </c:extLst>
        </c:ser>
        <c:ser>
          <c:idx val="1"/>
          <c:order val="1"/>
          <c:tx>
            <c:v>Graves</c:v>
          </c:tx>
          <c:spPr>
            <a:ln>
              <a:solidFill>
                <a:srgbClr val="F59E0B"/>
              </a:solidFill>
              <a:prstDash val="solid"/>
            </a:ln>
          </c:spPr>
          <c:marker>
            <c:symbol val="square"/>
            <c:size val="5"/>
          </c:marker>
          <c:cat>
            <c:numRef>
              <c:f>Bajo!$I$22:$I$26</c:f>
              <c:numCache>
                <c:formatCode>0\ %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Bajo!$K$22:$K$26</c:f>
              <c:numCache>
                <c:formatCode>0.00</c:formatCode>
                <c:ptCount val="5"/>
                <c:pt idx="0">
                  <c:v>4.5000000000000012E-2</c:v>
                </c:pt>
                <c:pt idx="1">
                  <c:v>5.6250000000000008E-2</c:v>
                </c:pt>
                <c:pt idx="2">
                  <c:v>6.7500000000000018E-2</c:v>
                </c:pt>
                <c:pt idx="3">
                  <c:v>7.8750000000000028E-2</c:v>
                </c:pt>
                <c:pt idx="4">
                  <c:v>9.0000000000000024E-2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F31-4ACB-BFC8-816ECE7BDD21}"/>
            </c:ext>
          </c:extLst>
        </c:ser>
        <c:ser>
          <c:idx val="2"/>
          <c:order val="2"/>
          <c:tx>
            <c:v>Críticas</c:v>
          </c:tx>
          <c:spPr>
            <a:ln>
              <a:solidFill>
                <a:srgbClr val="EF4444"/>
              </a:solidFill>
              <a:prstDash val="solid"/>
            </a:ln>
          </c:spPr>
          <c:marker>
            <c:symbol val="square"/>
            <c:size val="5"/>
          </c:marker>
          <c:cat>
            <c:numRef>
              <c:f>Bajo!$I$22:$I$26</c:f>
              <c:numCache>
                <c:formatCode>0\ %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Bajo!$L$22:$L$26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F31-4ACB-BFC8-816ECE7BDD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"/>
        <c:axId val="2"/>
      </c:lineChart>
      <c:catAx>
        <c:axId val="1"/>
        <c:scaling>
          <c:orientation val="minMax"/>
        </c:scaling>
        <c:delete val="0"/>
        <c:axPos val="b"/>
        <c:numFmt formatCode="0\ %" sourceLinked="1"/>
        <c:majorTickMark val="cross"/>
        <c:minorTickMark val="cross"/>
        <c:tickLblPos val="nextTo"/>
        <c:crossAx val="2"/>
        <c:crosses val="autoZero"/>
        <c:auto val="1"/>
        <c:lblAlgn val="ctr"/>
        <c:lblOffset val="100"/>
        <c:noMultiLvlLbl val="1"/>
      </c:catAx>
      <c:valAx>
        <c:axId val="2"/>
        <c:scaling>
          <c:orientation val="minMax"/>
        </c:scaling>
        <c:delete val="0"/>
        <c:axPos val="l"/>
        <c:majorGridlines/>
        <c:numFmt formatCode="0.00" sourceLinked="1"/>
        <c:majorTickMark val="cross"/>
        <c:minorTickMark val="cross"/>
        <c:tickLblPos val="nextTo"/>
        <c:crossAx val="1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800" b="0"/>
            </a:pPr>
            <a:r>
              <a:t>Perfil Moderado: fallas esperadas por vuelo de 3 h, según desgaste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Leves</c:v>
          </c:tx>
          <c:spPr>
            <a:ln>
              <a:solidFill>
                <a:srgbClr val="4CAF50"/>
              </a:solidFill>
              <a:prstDash val="solid"/>
            </a:ln>
          </c:spPr>
          <c:marker>
            <c:symbol val="square"/>
            <c:size val="5"/>
          </c:marker>
          <c:cat>
            <c:numRef>
              <c:f>Moderado!$I$22:$I$26</c:f>
              <c:numCache>
                <c:formatCode>0\ %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Moderado!$J$22:$J$26</c:f>
              <c:numCache>
                <c:formatCode>0.00</c:formatCode>
                <c:ptCount val="5"/>
                <c:pt idx="0">
                  <c:v>0.16500000000000004</c:v>
                </c:pt>
                <c:pt idx="1">
                  <c:v>0.21037500000000003</c:v>
                </c:pt>
                <c:pt idx="2">
                  <c:v>0.25575000000000003</c:v>
                </c:pt>
                <c:pt idx="3">
                  <c:v>0.30112500000000003</c:v>
                </c:pt>
                <c:pt idx="4">
                  <c:v>0.34650000000000003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52-45D0-9A3C-38BAC9292608}"/>
            </c:ext>
          </c:extLst>
        </c:ser>
        <c:ser>
          <c:idx val="1"/>
          <c:order val="1"/>
          <c:tx>
            <c:v>Graves</c:v>
          </c:tx>
          <c:spPr>
            <a:ln>
              <a:solidFill>
                <a:srgbClr val="F59E0B"/>
              </a:solidFill>
              <a:prstDash val="solid"/>
            </a:ln>
          </c:spPr>
          <c:marker>
            <c:symbol val="square"/>
            <c:size val="5"/>
          </c:marker>
          <c:cat>
            <c:numRef>
              <c:f>Moderado!$I$22:$I$26</c:f>
              <c:numCache>
                <c:formatCode>0\ %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Moderado!$K$22:$K$26</c:f>
              <c:numCache>
                <c:formatCode>0.00</c:formatCode>
                <c:ptCount val="5"/>
                <c:pt idx="0">
                  <c:v>6.6000000000000017E-2</c:v>
                </c:pt>
                <c:pt idx="1">
                  <c:v>8.4150000000000016E-2</c:v>
                </c:pt>
                <c:pt idx="2">
                  <c:v>0.10230000000000003</c:v>
                </c:pt>
                <c:pt idx="3">
                  <c:v>0.12045000000000002</c:v>
                </c:pt>
                <c:pt idx="4">
                  <c:v>0.13860000000000003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752-45D0-9A3C-38BAC9292608}"/>
            </c:ext>
          </c:extLst>
        </c:ser>
        <c:ser>
          <c:idx val="2"/>
          <c:order val="2"/>
          <c:tx>
            <c:v>Críticas</c:v>
          </c:tx>
          <c:spPr>
            <a:ln>
              <a:solidFill>
                <a:srgbClr val="EF4444"/>
              </a:solidFill>
              <a:prstDash val="solid"/>
            </a:ln>
          </c:spPr>
          <c:marker>
            <c:symbol val="square"/>
            <c:size val="5"/>
          </c:marker>
          <c:cat>
            <c:numRef>
              <c:f>Moderado!$I$22:$I$26</c:f>
              <c:numCache>
                <c:formatCode>0\ %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Moderado!$L$22:$L$26</c:f>
              <c:numCache>
                <c:formatCode>0.00</c:formatCode>
                <c:ptCount val="5"/>
                <c:pt idx="0">
                  <c:v>2.3100000000000006E-2</c:v>
                </c:pt>
                <c:pt idx="1">
                  <c:v>2.9452500000000006E-2</c:v>
                </c:pt>
                <c:pt idx="2">
                  <c:v>3.5805000000000017E-2</c:v>
                </c:pt>
                <c:pt idx="3">
                  <c:v>4.2157500000000007E-2</c:v>
                </c:pt>
                <c:pt idx="4">
                  <c:v>4.8510000000000011E-2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752-45D0-9A3C-38BAC92926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"/>
        <c:axId val="2"/>
      </c:lineChart>
      <c:catAx>
        <c:axId val="1"/>
        <c:scaling>
          <c:orientation val="minMax"/>
        </c:scaling>
        <c:delete val="0"/>
        <c:axPos val="b"/>
        <c:numFmt formatCode="0\ %" sourceLinked="1"/>
        <c:majorTickMark val="cross"/>
        <c:minorTickMark val="cross"/>
        <c:tickLblPos val="nextTo"/>
        <c:crossAx val="2"/>
        <c:crosses val="autoZero"/>
        <c:auto val="1"/>
        <c:lblAlgn val="ctr"/>
        <c:lblOffset val="100"/>
        <c:noMultiLvlLbl val="1"/>
      </c:catAx>
      <c:valAx>
        <c:axId val="2"/>
        <c:scaling>
          <c:orientation val="minMax"/>
        </c:scaling>
        <c:delete val="0"/>
        <c:axPos val="l"/>
        <c:majorGridlines/>
        <c:numFmt formatCode="0.00" sourceLinked="1"/>
        <c:majorTickMark val="cross"/>
        <c:minorTickMark val="cross"/>
        <c:tickLblPos val="nextTo"/>
        <c:crossAx val="1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800" b="0"/>
            </a:pPr>
            <a:r>
              <a:t>Perfil Alto: fallas esperadas por vuelo de 3 h, según desgaste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Leves</c:v>
          </c:tx>
          <c:spPr>
            <a:ln>
              <a:solidFill>
                <a:srgbClr val="4CAF50"/>
              </a:solidFill>
              <a:prstDash val="solid"/>
            </a:ln>
          </c:spPr>
          <c:marker>
            <c:symbol val="square"/>
            <c:size val="5"/>
          </c:marker>
          <c:cat>
            <c:numRef>
              <c:f>Alto!$I$22:$I$26</c:f>
              <c:numCache>
                <c:formatCode>0\ %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Alto!$J$22:$J$26</c:f>
              <c:numCache>
                <c:formatCode>0.00</c:formatCode>
                <c:ptCount val="5"/>
                <c:pt idx="0">
                  <c:v>0.375</c:v>
                </c:pt>
                <c:pt idx="1">
                  <c:v>0.48750000000000004</c:v>
                </c:pt>
                <c:pt idx="2">
                  <c:v>0.60000000000000009</c:v>
                </c:pt>
                <c:pt idx="3">
                  <c:v>0.71250000000000002</c:v>
                </c:pt>
                <c:pt idx="4">
                  <c:v>0.82500000000000007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8F-477C-A739-D5B9748539D8}"/>
            </c:ext>
          </c:extLst>
        </c:ser>
        <c:ser>
          <c:idx val="1"/>
          <c:order val="1"/>
          <c:tx>
            <c:v>Graves</c:v>
          </c:tx>
          <c:spPr>
            <a:ln>
              <a:solidFill>
                <a:srgbClr val="F59E0B"/>
              </a:solidFill>
              <a:prstDash val="solid"/>
            </a:ln>
          </c:spPr>
          <c:marker>
            <c:symbol val="square"/>
            <c:size val="5"/>
          </c:marker>
          <c:cat>
            <c:numRef>
              <c:f>Alto!$I$22:$I$26</c:f>
              <c:numCache>
                <c:formatCode>0\ %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Alto!$K$22:$K$26</c:f>
              <c:numCache>
                <c:formatCode>0.00</c:formatCode>
                <c:ptCount val="5"/>
                <c:pt idx="0">
                  <c:v>0.15000000000000002</c:v>
                </c:pt>
                <c:pt idx="1">
                  <c:v>0.19500000000000001</c:v>
                </c:pt>
                <c:pt idx="2">
                  <c:v>0.24000000000000005</c:v>
                </c:pt>
                <c:pt idx="3">
                  <c:v>0.28500000000000003</c:v>
                </c:pt>
                <c:pt idx="4">
                  <c:v>0.33000000000000007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A8F-477C-A739-D5B9748539D8}"/>
            </c:ext>
          </c:extLst>
        </c:ser>
        <c:ser>
          <c:idx val="2"/>
          <c:order val="2"/>
          <c:tx>
            <c:v>Críticas</c:v>
          </c:tx>
          <c:spPr>
            <a:ln>
              <a:solidFill>
                <a:srgbClr val="EF4444"/>
              </a:solidFill>
              <a:prstDash val="solid"/>
            </a:ln>
          </c:spPr>
          <c:marker>
            <c:symbol val="square"/>
            <c:size val="5"/>
          </c:marker>
          <c:cat>
            <c:numRef>
              <c:f>Alto!$I$22:$I$26</c:f>
              <c:numCache>
                <c:formatCode>0\ %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Alto!$L$22:$L$26</c:f>
              <c:numCache>
                <c:formatCode>0.00</c:formatCode>
                <c:ptCount val="5"/>
                <c:pt idx="0">
                  <c:v>5.2500000000000005E-2</c:v>
                </c:pt>
                <c:pt idx="1">
                  <c:v>6.8250000000000005E-2</c:v>
                </c:pt>
                <c:pt idx="2">
                  <c:v>8.4000000000000019E-2</c:v>
                </c:pt>
                <c:pt idx="3">
                  <c:v>9.9750000000000033E-2</c:v>
                </c:pt>
                <c:pt idx="4">
                  <c:v>0.11550000000000002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A8F-477C-A739-D5B9748539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"/>
        <c:axId val="2"/>
      </c:lineChart>
      <c:catAx>
        <c:axId val="1"/>
        <c:scaling>
          <c:orientation val="minMax"/>
        </c:scaling>
        <c:delete val="0"/>
        <c:axPos val="b"/>
        <c:numFmt formatCode="0\ %" sourceLinked="1"/>
        <c:majorTickMark val="cross"/>
        <c:minorTickMark val="cross"/>
        <c:tickLblPos val="nextTo"/>
        <c:crossAx val="2"/>
        <c:crosses val="autoZero"/>
        <c:auto val="1"/>
        <c:lblAlgn val="ctr"/>
        <c:lblOffset val="100"/>
        <c:noMultiLvlLbl val="1"/>
      </c:catAx>
      <c:valAx>
        <c:axId val="2"/>
        <c:scaling>
          <c:orientation val="minMax"/>
        </c:scaling>
        <c:delete val="0"/>
        <c:axPos val="l"/>
        <c:majorGridlines/>
        <c:numFmt formatCode="0.00" sourceLinked="1"/>
        <c:majorTickMark val="cross"/>
        <c:minorTickMark val="cross"/>
        <c:tickLblPos val="nextTo"/>
        <c:crossAx val="1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800" b="0"/>
            </a:pPr>
            <a:r>
              <a:t>Perfil 7700: fallas esperadas por vuelo de 3 h, según desgaste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Leves</c:v>
          </c:tx>
          <c:spPr>
            <a:ln>
              <a:solidFill>
                <a:srgbClr val="4CAF50"/>
              </a:solidFill>
              <a:prstDash val="solid"/>
            </a:ln>
          </c:spPr>
          <c:marker>
            <c:symbol val="square"/>
            <c:size val="5"/>
          </c:marker>
          <c:cat>
            <c:numRef>
              <c:f>'7700'!$I$22:$I$26</c:f>
              <c:numCache>
                <c:formatCode>0\ %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'7700'!$J$22:$J$26</c:f>
              <c:numCache>
                <c:formatCode>0.00</c:formatCode>
                <c:ptCount val="5"/>
                <c:pt idx="0">
                  <c:v>0.61499999999999999</c:v>
                </c:pt>
                <c:pt idx="1">
                  <c:v>0.81487499999999979</c:v>
                </c:pt>
                <c:pt idx="2">
                  <c:v>1.0147499999999998</c:v>
                </c:pt>
                <c:pt idx="3">
                  <c:v>1.2146249999999998</c:v>
                </c:pt>
                <c:pt idx="4">
                  <c:v>1.4144999999999999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C0-43A8-9D7B-4E40A588ECAE}"/>
            </c:ext>
          </c:extLst>
        </c:ser>
        <c:ser>
          <c:idx val="1"/>
          <c:order val="1"/>
          <c:tx>
            <c:v>Graves</c:v>
          </c:tx>
          <c:spPr>
            <a:ln>
              <a:solidFill>
                <a:srgbClr val="F59E0B"/>
              </a:solidFill>
              <a:prstDash val="solid"/>
            </a:ln>
          </c:spPr>
          <c:marker>
            <c:symbol val="square"/>
            <c:size val="5"/>
          </c:marker>
          <c:cat>
            <c:numRef>
              <c:f>'7700'!$I$22:$I$26</c:f>
              <c:numCache>
                <c:formatCode>0\ %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'7700'!$K$22:$K$26</c:f>
              <c:numCache>
                <c:formatCode>0.00</c:formatCode>
                <c:ptCount val="5"/>
                <c:pt idx="0">
                  <c:v>0.246</c:v>
                </c:pt>
                <c:pt idx="1">
                  <c:v>0.32594999999999996</c:v>
                </c:pt>
                <c:pt idx="2">
                  <c:v>0.40589999999999993</c:v>
                </c:pt>
                <c:pt idx="3">
                  <c:v>0.48584999999999995</c:v>
                </c:pt>
                <c:pt idx="4">
                  <c:v>0.56579999999999997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C0-43A8-9D7B-4E40A588ECAE}"/>
            </c:ext>
          </c:extLst>
        </c:ser>
        <c:ser>
          <c:idx val="2"/>
          <c:order val="2"/>
          <c:tx>
            <c:v>Críticas</c:v>
          </c:tx>
          <c:spPr>
            <a:ln>
              <a:solidFill>
                <a:srgbClr val="EF4444"/>
              </a:solidFill>
              <a:prstDash val="solid"/>
            </a:ln>
          </c:spPr>
          <c:marker>
            <c:symbol val="square"/>
            <c:size val="5"/>
          </c:marker>
          <c:cat>
            <c:numRef>
              <c:f>'7700'!$I$22:$I$26</c:f>
              <c:numCache>
                <c:formatCode>0\ %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'7700'!$L$22:$L$26</c:f>
              <c:numCache>
                <c:formatCode>0.00</c:formatCode>
                <c:ptCount val="5"/>
                <c:pt idx="0">
                  <c:v>8.6099999999999996E-2</c:v>
                </c:pt>
                <c:pt idx="1">
                  <c:v>0.1140825</c:v>
                </c:pt>
                <c:pt idx="2">
                  <c:v>0.142065</c:v>
                </c:pt>
                <c:pt idx="3">
                  <c:v>0.17004749999999999</c:v>
                </c:pt>
                <c:pt idx="4">
                  <c:v>0.19802999999999998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6C0-43A8-9D7B-4E40A588EC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"/>
        <c:axId val="2"/>
      </c:lineChart>
      <c:catAx>
        <c:axId val="1"/>
        <c:scaling>
          <c:orientation val="minMax"/>
        </c:scaling>
        <c:delete val="0"/>
        <c:axPos val="b"/>
        <c:numFmt formatCode="0\ %" sourceLinked="1"/>
        <c:majorTickMark val="cross"/>
        <c:minorTickMark val="cross"/>
        <c:tickLblPos val="nextTo"/>
        <c:crossAx val="2"/>
        <c:crosses val="autoZero"/>
        <c:auto val="1"/>
        <c:lblAlgn val="ctr"/>
        <c:lblOffset val="100"/>
        <c:noMultiLvlLbl val="1"/>
      </c:catAx>
      <c:valAx>
        <c:axId val="2"/>
        <c:scaling>
          <c:orientation val="minMax"/>
        </c:scaling>
        <c:delete val="0"/>
        <c:axPos val="l"/>
        <c:majorGridlines/>
        <c:numFmt formatCode="0.00" sourceLinked="1"/>
        <c:majorTickMark val="cross"/>
        <c:minorTickMark val="cross"/>
        <c:tickLblPos val="nextTo"/>
        <c:crossAx val="1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800" b="0"/>
            </a:pPr>
            <a:r>
              <a:t>Fallas graves (Major) cada 10 h de vuelo, según desgaste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Bajo</c:v>
          </c:tx>
          <c:spPr>
            <a:ln>
              <a:solidFill>
                <a:srgbClr val="4CAF50"/>
              </a:solidFill>
              <a:prstDash val="solid"/>
            </a:ln>
          </c:spPr>
          <c:marker>
            <c:symbol val="square"/>
            <c:size val="5"/>
          </c:marker>
          <c:cat>
            <c:numRef>
              <c:f>Bajo!$A$14:$A$18</c:f>
              <c:numCache>
                <c:formatCode>0\ %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Bajo!$C$14:$C$18</c:f>
              <c:numCache>
                <c:formatCode>0.00</c:formatCode>
                <c:ptCount val="5"/>
                <c:pt idx="0">
                  <c:v>0.15000000000000002</c:v>
                </c:pt>
                <c:pt idx="1">
                  <c:v>0.18750000000000003</c:v>
                </c:pt>
                <c:pt idx="2">
                  <c:v>0.22500000000000006</c:v>
                </c:pt>
                <c:pt idx="3">
                  <c:v>0.26250000000000007</c:v>
                </c:pt>
                <c:pt idx="4">
                  <c:v>0.30000000000000004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A2-4046-AD4E-DEB43DB3B00A}"/>
            </c:ext>
          </c:extLst>
        </c:ser>
        <c:ser>
          <c:idx val="1"/>
          <c:order val="1"/>
          <c:tx>
            <c:v>Moderado</c:v>
          </c:tx>
          <c:spPr>
            <a:ln>
              <a:solidFill>
                <a:srgbClr val="F59E0B"/>
              </a:solidFill>
              <a:prstDash val="solid"/>
            </a:ln>
          </c:spPr>
          <c:marker>
            <c:symbol val="square"/>
            <c:size val="5"/>
          </c:marker>
          <c:cat>
            <c:numRef>
              <c:f>Moderado!$A$14:$A$18</c:f>
              <c:numCache>
                <c:formatCode>0\ %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Moderado!$C$14:$C$18</c:f>
              <c:numCache>
                <c:formatCode>0.00</c:formatCode>
                <c:ptCount val="5"/>
                <c:pt idx="0">
                  <c:v>0.22000000000000006</c:v>
                </c:pt>
                <c:pt idx="1">
                  <c:v>0.28050000000000008</c:v>
                </c:pt>
                <c:pt idx="2">
                  <c:v>0.34100000000000014</c:v>
                </c:pt>
                <c:pt idx="3">
                  <c:v>0.40150000000000008</c:v>
                </c:pt>
                <c:pt idx="4">
                  <c:v>0.46200000000000013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3A2-4046-AD4E-DEB43DB3B00A}"/>
            </c:ext>
          </c:extLst>
        </c:ser>
        <c:ser>
          <c:idx val="2"/>
          <c:order val="2"/>
          <c:tx>
            <c:v>Alto</c:v>
          </c:tx>
          <c:spPr>
            <a:ln>
              <a:solidFill>
                <a:srgbClr val="EF4444"/>
              </a:solidFill>
              <a:prstDash val="solid"/>
            </a:ln>
          </c:spPr>
          <c:marker>
            <c:symbol val="square"/>
            <c:size val="5"/>
          </c:marker>
          <c:cat>
            <c:numRef>
              <c:f>Alto!$A$14:$A$18</c:f>
              <c:numCache>
                <c:formatCode>0\ %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Alto!$C$14:$C$18</c:f>
              <c:numCache>
                <c:formatCode>0.00</c:formatCode>
                <c:ptCount val="5"/>
                <c:pt idx="0">
                  <c:v>0.5</c:v>
                </c:pt>
                <c:pt idx="1">
                  <c:v>0.65</c:v>
                </c:pt>
                <c:pt idx="2">
                  <c:v>0.80000000000000016</c:v>
                </c:pt>
                <c:pt idx="3">
                  <c:v>0.95000000000000018</c:v>
                </c:pt>
                <c:pt idx="4">
                  <c:v>1.1000000000000001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3A2-4046-AD4E-DEB43DB3B00A}"/>
            </c:ext>
          </c:extLst>
        </c:ser>
        <c:ser>
          <c:idx val="3"/>
          <c:order val="3"/>
          <c:tx>
            <c:v>7700</c:v>
          </c:tx>
          <c:spPr>
            <a:ln>
              <a:solidFill>
                <a:srgbClr val="8B5CF6"/>
              </a:solidFill>
              <a:prstDash val="solid"/>
            </a:ln>
          </c:spPr>
          <c:marker>
            <c:symbol val="square"/>
            <c:size val="5"/>
          </c:marker>
          <c:cat>
            <c:numRef>
              <c:f>'7700'!$A$14:$A$18</c:f>
              <c:numCache>
                <c:formatCode>0\ %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'7700'!$C$14:$C$18</c:f>
              <c:numCache>
                <c:formatCode>0.00</c:formatCode>
                <c:ptCount val="5"/>
                <c:pt idx="0">
                  <c:v>0.82000000000000006</c:v>
                </c:pt>
                <c:pt idx="1">
                  <c:v>1.0864999999999998</c:v>
                </c:pt>
                <c:pt idx="2">
                  <c:v>1.3529999999999998</c:v>
                </c:pt>
                <c:pt idx="3">
                  <c:v>1.6194999999999999</c:v>
                </c:pt>
                <c:pt idx="4">
                  <c:v>1.8859999999999999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3A2-4046-AD4E-DEB43DB3B0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"/>
        <c:axId val="2"/>
      </c:lineChart>
      <c:catAx>
        <c:axId val="1"/>
        <c:scaling>
          <c:orientation val="minMax"/>
        </c:scaling>
        <c:delete val="0"/>
        <c:axPos val="b"/>
        <c:numFmt formatCode="0\ %" sourceLinked="1"/>
        <c:majorTickMark val="cross"/>
        <c:minorTickMark val="cross"/>
        <c:tickLblPos val="nextTo"/>
        <c:crossAx val="2"/>
        <c:crosses val="autoZero"/>
        <c:auto val="1"/>
        <c:lblAlgn val="ctr"/>
        <c:lblOffset val="100"/>
        <c:noMultiLvlLbl val="1"/>
      </c:catAx>
      <c:valAx>
        <c:axId val="2"/>
        <c:scaling>
          <c:orientation val="minMax"/>
        </c:scaling>
        <c:delete val="0"/>
        <c:axPos val="l"/>
        <c:majorGridlines/>
        <c:numFmt formatCode="0.00" sourceLinked="1"/>
        <c:majorTickMark val="cross"/>
        <c:minorTickMark val="cross"/>
        <c:tickLblPos val="nextTo"/>
        <c:crossAx val="1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800" b="0"/>
            </a:pPr>
            <a:r>
              <a:t>Fallas críticas (Critical) cada 100 h de vuelo, según desgaste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Bajo</c:v>
          </c:tx>
          <c:spPr>
            <a:ln>
              <a:solidFill>
                <a:srgbClr val="4CAF50"/>
              </a:solidFill>
              <a:prstDash val="solid"/>
            </a:ln>
          </c:spPr>
          <c:marker>
            <c:symbol val="square"/>
            <c:size val="5"/>
          </c:marker>
          <c:cat>
            <c:numRef>
              <c:f>Bajo!$A$14:$A$18</c:f>
              <c:numCache>
                <c:formatCode>0\ %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Bajo!$D$14:$D$18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A68-41B7-A603-18ECAADD9052}"/>
            </c:ext>
          </c:extLst>
        </c:ser>
        <c:ser>
          <c:idx val="1"/>
          <c:order val="1"/>
          <c:tx>
            <c:v>Moderado</c:v>
          </c:tx>
          <c:spPr>
            <a:ln>
              <a:solidFill>
                <a:srgbClr val="F59E0B"/>
              </a:solidFill>
              <a:prstDash val="solid"/>
            </a:ln>
          </c:spPr>
          <c:marker>
            <c:symbol val="square"/>
            <c:size val="5"/>
          </c:marker>
          <c:cat>
            <c:numRef>
              <c:f>Moderado!$A$14:$A$18</c:f>
              <c:numCache>
                <c:formatCode>0\ %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Moderado!$D$14:$D$18</c:f>
              <c:numCache>
                <c:formatCode>0.00</c:formatCode>
                <c:ptCount val="5"/>
                <c:pt idx="0">
                  <c:v>7.7000000000000013E-2</c:v>
                </c:pt>
                <c:pt idx="1">
                  <c:v>9.8175000000000012E-2</c:v>
                </c:pt>
                <c:pt idx="2">
                  <c:v>0.11935000000000004</c:v>
                </c:pt>
                <c:pt idx="3">
                  <c:v>0.14052500000000001</c:v>
                </c:pt>
                <c:pt idx="4">
                  <c:v>0.16170000000000004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A68-41B7-A603-18ECAADD9052}"/>
            </c:ext>
          </c:extLst>
        </c:ser>
        <c:ser>
          <c:idx val="2"/>
          <c:order val="2"/>
          <c:tx>
            <c:v>Alto</c:v>
          </c:tx>
          <c:spPr>
            <a:ln>
              <a:solidFill>
                <a:srgbClr val="EF4444"/>
              </a:solidFill>
              <a:prstDash val="solid"/>
            </a:ln>
          </c:spPr>
          <c:marker>
            <c:symbol val="square"/>
            <c:size val="5"/>
          </c:marker>
          <c:cat>
            <c:numRef>
              <c:f>Alto!$A$14:$A$18</c:f>
              <c:numCache>
                <c:formatCode>0\ %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Alto!$D$14:$D$18</c:f>
              <c:numCache>
                <c:formatCode>0.00</c:formatCode>
                <c:ptCount val="5"/>
                <c:pt idx="0">
                  <c:v>0.17500000000000002</c:v>
                </c:pt>
                <c:pt idx="1">
                  <c:v>0.22750000000000004</c:v>
                </c:pt>
                <c:pt idx="2">
                  <c:v>0.28000000000000003</c:v>
                </c:pt>
                <c:pt idx="3">
                  <c:v>0.33250000000000007</c:v>
                </c:pt>
                <c:pt idx="4">
                  <c:v>0.38500000000000006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A68-41B7-A603-18ECAADD9052}"/>
            </c:ext>
          </c:extLst>
        </c:ser>
        <c:ser>
          <c:idx val="3"/>
          <c:order val="3"/>
          <c:tx>
            <c:v>7700</c:v>
          </c:tx>
          <c:spPr>
            <a:ln>
              <a:solidFill>
                <a:srgbClr val="8B5CF6"/>
              </a:solidFill>
              <a:prstDash val="solid"/>
            </a:ln>
          </c:spPr>
          <c:marker>
            <c:symbol val="square"/>
            <c:size val="5"/>
          </c:marker>
          <c:cat>
            <c:numRef>
              <c:f>'7700'!$A$14:$A$18</c:f>
              <c:numCache>
                <c:formatCode>0\ %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'7700'!$D$14:$D$18</c:f>
              <c:numCache>
                <c:formatCode>0.00</c:formatCode>
                <c:ptCount val="5"/>
                <c:pt idx="0">
                  <c:v>0.28699999999999998</c:v>
                </c:pt>
                <c:pt idx="1">
                  <c:v>0.38027499999999997</c:v>
                </c:pt>
                <c:pt idx="2">
                  <c:v>0.47354999999999992</c:v>
                </c:pt>
                <c:pt idx="3">
                  <c:v>0.56682499999999991</c:v>
                </c:pt>
                <c:pt idx="4">
                  <c:v>0.66010000000000002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A68-41B7-A603-18ECAADD90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"/>
        <c:axId val="2"/>
      </c:lineChart>
      <c:catAx>
        <c:axId val="1"/>
        <c:scaling>
          <c:orientation val="minMax"/>
        </c:scaling>
        <c:delete val="0"/>
        <c:axPos val="b"/>
        <c:numFmt formatCode="0\ %" sourceLinked="1"/>
        <c:majorTickMark val="cross"/>
        <c:minorTickMark val="cross"/>
        <c:tickLblPos val="nextTo"/>
        <c:crossAx val="2"/>
        <c:crosses val="autoZero"/>
        <c:auto val="1"/>
        <c:lblAlgn val="ctr"/>
        <c:lblOffset val="100"/>
        <c:noMultiLvlLbl val="1"/>
      </c:catAx>
      <c:valAx>
        <c:axId val="2"/>
        <c:scaling>
          <c:orientation val="minMax"/>
        </c:scaling>
        <c:delete val="0"/>
        <c:axPos val="l"/>
        <c:majorGridlines/>
        <c:numFmt formatCode="0.00" sourceLinked="1"/>
        <c:majorTickMark val="cross"/>
        <c:minorTickMark val="cross"/>
        <c:tickLblPos val="nextTo"/>
        <c:crossAx val="1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800" b="0"/>
            </a:pPr>
            <a:r>
              <a:t>Graves cada 10 h por perfil (desgaste 25 %)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Graves / 10 h</c:v>
          </c:tx>
          <c:spPr>
            <a:solidFill>
              <a:srgbClr val="3B82F6"/>
            </a:solidFill>
          </c:spPr>
          <c:invertIfNegative val="0"/>
          <c:cat>
            <c:strRef>
              <c:f>Resumen!$A$6:$A$9</c:f>
              <c:strCache>
                <c:ptCount val="4"/>
                <c:pt idx="0">
                  <c:v>Bajo</c:v>
                </c:pt>
                <c:pt idx="1">
                  <c:v>Moderado</c:v>
                </c:pt>
                <c:pt idx="2">
                  <c:v>Alto</c:v>
                </c:pt>
                <c:pt idx="3">
                  <c:v>7700</c:v>
                </c:pt>
              </c:strCache>
            </c:strRef>
          </c:cat>
          <c:val>
            <c:numRef>
              <c:f>Resumen!$C$6:$C$9</c:f>
              <c:numCache>
                <c:formatCode>0.00</c:formatCode>
                <c:ptCount val="4"/>
                <c:pt idx="0">
                  <c:v>0.18750000000000003</c:v>
                </c:pt>
                <c:pt idx="1">
                  <c:v>0.28050000000000008</c:v>
                </c:pt>
                <c:pt idx="2">
                  <c:v>0.65</c:v>
                </c:pt>
                <c:pt idx="3">
                  <c:v>1.0864999999999998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5F-41DE-AF98-28F702A8A2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catAx>
        <c:axId val="1"/>
        <c:scaling>
          <c:orientation val="minMax"/>
        </c:scaling>
        <c:delete val="0"/>
        <c:axPos val="b"/>
        <c:numFmt formatCode="General" sourceLinked="1"/>
        <c:majorTickMark val="cross"/>
        <c:minorTickMark val="cross"/>
        <c:tickLblPos val="nextTo"/>
        <c:crossAx val="2"/>
        <c:crosses val="autoZero"/>
        <c:auto val="1"/>
        <c:lblAlgn val="ctr"/>
        <c:lblOffset val="100"/>
        <c:noMultiLvlLbl val="1"/>
      </c:catAx>
      <c:valAx>
        <c:axId val="2"/>
        <c:scaling>
          <c:orientation val="minMax"/>
        </c:scaling>
        <c:delete val="0"/>
        <c:axPos val="l"/>
        <c:majorGridlines/>
        <c:numFmt formatCode="0.00" sourceLinked="1"/>
        <c:majorTickMark val="cross"/>
        <c:minorTickMark val="cross"/>
        <c:tickLblPos val="nextTo"/>
        <c:crossAx val="1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800" b="0"/>
            </a:pPr>
            <a:r>
              <a:t>Experiencia por vuelo: fallas esperadas en 3 h, según desgaste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Bajo</c:v>
          </c:tx>
          <c:spPr>
            <a:ln>
              <a:solidFill>
                <a:srgbClr val="4CAF50"/>
              </a:solidFill>
              <a:prstDash val="solid"/>
            </a:ln>
          </c:spPr>
          <c:marker>
            <c:symbol val="square"/>
            <c:size val="5"/>
          </c:marker>
          <c:cat>
            <c:numRef>
              <c:f>Gráficas!$A$49:$A$53</c:f>
              <c:numCache>
                <c:formatCode>0\ %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Gráficas!$B$49:$B$53</c:f>
              <c:numCache>
                <c:formatCode>0.00</c:formatCode>
                <c:ptCount val="5"/>
                <c:pt idx="0">
                  <c:v>0.15750000000000003</c:v>
                </c:pt>
                <c:pt idx="1">
                  <c:v>0.19687500000000005</c:v>
                </c:pt>
                <c:pt idx="2">
                  <c:v>0.23625000000000004</c:v>
                </c:pt>
                <c:pt idx="3">
                  <c:v>0.27562500000000006</c:v>
                </c:pt>
                <c:pt idx="4">
                  <c:v>0.31500000000000006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5C-4893-8B9B-698349F76889}"/>
            </c:ext>
          </c:extLst>
        </c:ser>
        <c:ser>
          <c:idx val="1"/>
          <c:order val="1"/>
          <c:tx>
            <c:v>Moderado</c:v>
          </c:tx>
          <c:spPr>
            <a:ln>
              <a:solidFill>
                <a:srgbClr val="F59E0B"/>
              </a:solidFill>
              <a:prstDash val="solid"/>
            </a:ln>
          </c:spPr>
          <c:marker>
            <c:symbol val="square"/>
            <c:size val="5"/>
          </c:marker>
          <c:cat>
            <c:numRef>
              <c:f>Gráficas!$A$49:$A$53</c:f>
              <c:numCache>
                <c:formatCode>0\ %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Gráficas!$C$49:$C$53</c:f>
              <c:numCache>
                <c:formatCode>0.00</c:formatCode>
                <c:ptCount val="5"/>
                <c:pt idx="0">
                  <c:v>0.25410000000000005</c:v>
                </c:pt>
                <c:pt idx="1">
                  <c:v>0.32397750000000003</c:v>
                </c:pt>
                <c:pt idx="2">
                  <c:v>0.39385500000000012</c:v>
                </c:pt>
                <c:pt idx="3">
                  <c:v>0.46373249999999999</c:v>
                </c:pt>
                <c:pt idx="4">
                  <c:v>0.53361000000000014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5C-4893-8B9B-698349F76889}"/>
            </c:ext>
          </c:extLst>
        </c:ser>
        <c:ser>
          <c:idx val="2"/>
          <c:order val="2"/>
          <c:tx>
            <c:v>Alto</c:v>
          </c:tx>
          <c:spPr>
            <a:ln>
              <a:solidFill>
                <a:srgbClr val="EF4444"/>
              </a:solidFill>
              <a:prstDash val="solid"/>
            </a:ln>
          </c:spPr>
          <c:marker>
            <c:symbol val="square"/>
            <c:size val="5"/>
          </c:marker>
          <c:cat>
            <c:numRef>
              <c:f>Gráficas!$A$49:$A$53</c:f>
              <c:numCache>
                <c:formatCode>0\ %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Gráficas!$D$49:$D$53</c:f>
              <c:numCache>
                <c:formatCode>0.00</c:formatCode>
                <c:ptCount val="5"/>
                <c:pt idx="0">
                  <c:v>0.57750000000000001</c:v>
                </c:pt>
                <c:pt idx="1">
                  <c:v>0.75075000000000003</c:v>
                </c:pt>
                <c:pt idx="2">
                  <c:v>0.92400000000000015</c:v>
                </c:pt>
                <c:pt idx="3">
                  <c:v>1.0972500000000001</c:v>
                </c:pt>
                <c:pt idx="4">
                  <c:v>1.2705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5C-4893-8B9B-698349F76889}"/>
            </c:ext>
          </c:extLst>
        </c:ser>
        <c:ser>
          <c:idx val="3"/>
          <c:order val="3"/>
          <c:tx>
            <c:v>7700</c:v>
          </c:tx>
          <c:spPr>
            <a:ln>
              <a:solidFill>
                <a:srgbClr val="8B5CF6"/>
              </a:solidFill>
              <a:prstDash val="solid"/>
            </a:ln>
          </c:spPr>
          <c:marker>
            <c:symbol val="square"/>
            <c:size val="5"/>
          </c:marker>
          <c:cat>
            <c:numRef>
              <c:f>Gráficas!$A$49:$A$53</c:f>
              <c:numCache>
                <c:formatCode>0\ %</c:formatCode>
                <c:ptCount val="5"/>
                <c:pt idx="0">
                  <c:v>0</c:v>
                </c:pt>
                <c:pt idx="1">
                  <c:v>0.25</c:v>
                </c:pt>
                <c:pt idx="2">
                  <c:v>0.5</c:v>
                </c:pt>
                <c:pt idx="3">
                  <c:v>0.75</c:v>
                </c:pt>
                <c:pt idx="4">
                  <c:v>1</c:v>
                </c:pt>
              </c:numCache>
            </c:numRef>
          </c:cat>
          <c:val>
            <c:numRef>
              <c:f>Gráficas!$E$49:$E$53</c:f>
              <c:numCache>
                <c:formatCode>0.00</c:formatCode>
                <c:ptCount val="5"/>
                <c:pt idx="0">
                  <c:v>0.94709999999999994</c:v>
                </c:pt>
                <c:pt idx="1">
                  <c:v>1.2549074999999998</c:v>
                </c:pt>
                <c:pt idx="2">
                  <c:v>1.5627149999999999</c:v>
                </c:pt>
                <c:pt idx="3">
                  <c:v>1.8705224999999996</c:v>
                </c:pt>
                <c:pt idx="4">
                  <c:v>2.1783299999999999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45C-4893-8B9B-698349F768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"/>
        <c:axId val="2"/>
      </c:lineChart>
      <c:catAx>
        <c:axId val="1"/>
        <c:scaling>
          <c:orientation val="minMax"/>
        </c:scaling>
        <c:delete val="0"/>
        <c:axPos val="b"/>
        <c:numFmt formatCode="0\ %" sourceLinked="1"/>
        <c:majorTickMark val="cross"/>
        <c:minorTickMark val="cross"/>
        <c:tickLblPos val="nextTo"/>
        <c:crossAx val="2"/>
        <c:crosses val="autoZero"/>
        <c:auto val="1"/>
        <c:lblAlgn val="ctr"/>
        <c:lblOffset val="100"/>
        <c:noMultiLvlLbl val="1"/>
      </c:catAx>
      <c:valAx>
        <c:axId val="2"/>
        <c:scaling>
          <c:orientation val="minMax"/>
        </c:scaling>
        <c:delete val="0"/>
        <c:axPos val="l"/>
        <c:majorGridlines/>
        <c:numFmt formatCode="0.00" sourceLinked="1"/>
        <c:majorTickMark val="cross"/>
        <c:minorTickMark val="cross"/>
        <c:tickLblPos val="nextTo"/>
        <c:crossAx val="1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28</xdr:row>
      <xdr:rowOff>0</xdr:rowOff>
    </xdr:from>
    <xdr:to>
      <xdr:col>17</xdr:col>
      <xdr:colOff>419100</xdr:colOff>
      <xdr:row>44</xdr:row>
      <xdr:rowOff>0</xdr:rowOff>
    </xdr:to>
    <xdr:graphicFrame macro="">
      <xdr:nvGraphicFramePr>
        <xdr:cNvPr id="2" name="Experiencia_Baj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28</xdr:row>
      <xdr:rowOff>0</xdr:rowOff>
    </xdr:from>
    <xdr:to>
      <xdr:col>17</xdr:col>
      <xdr:colOff>419100</xdr:colOff>
      <xdr:row>44</xdr:row>
      <xdr:rowOff>0</xdr:rowOff>
    </xdr:to>
    <xdr:graphicFrame macro="">
      <xdr:nvGraphicFramePr>
        <xdr:cNvPr id="2" name="Experiencia_Moderad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28</xdr:row>
      <xdr:rowOff>0</xdr:rowOff>
    </xdr:from>
    <xdr:to>
      <xdr:col>17</xdr:col>
      <xdr:colOff>419100</xdr:colOff>
      <xdr:row>44</xdr:row>
      <xdr:rowOff>0</xdr:rowOff>
    </xdr:to>
    <xdr:graphicFrame macro="">
      <xdr:nvGraphicFramePr>
        <xdr:cNvPr id="2" name="Experiencia_Alt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28</xdr:row>
      <xdr:rowOff>0</xdr:rowOff>
    </xdr:from>
    <xdr:to>
      <xdr:col>17</xdr:col>
      <xdr:colOff>419100</xdr:colOff>
      <xdr:row>44</xdr:row>
      <xdr:rowOff>0</xdr:rowOff>
    </xdr:to>
    <xdr:graphicFrame macro="">
      <xdr:nvGraphicFramePr>
        <xdr:cNvPr id="3" name="Experiencia_7700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9</xdr:col>
      <xdr:colOff>419100</xdr:colOff>
      <xdr:row>18</xdr:row>
      <xdr:rowOff>0</xdr:rowOff>
    </xdr:to>
    <xdr:graphicFrame macro="">
      <xdr:nvGraphicFramePr>
        <xdr:cNvPr id="4" name="GravesPorDesgaste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2</xdr:row>
      <xdr:rowOff>0</xdr:rowOff>
    </xdr:from>
    <xdr:to>
      <xdr:col>19</xdr:col>
      <xdr:colOff>419100</xdr:colOff>
      <xdr:row>18</xdr:row>
      <xdr:rowOff>0</xdr:rowOff>
    </xdr:to>
    <xdr:graphicFrame macro="">
      <xdr:nvGraphicFramePr>
        <xdr:cNvPr id="5" name="CriticasPorDesgaste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9</xdr:col>
      <xdr:colOff>419100</xdr:colOff>
      <xdr:row>40</xdr:row>
      <xdr:rowOff>0</xdr:rowOff>
    </xdr:to>
    <xdr:graphicFrame macro="">
      <xdr:nvGraphicFramePr>
        <xdr:cNvPr id="6" name="GravesPorPerfil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0</xdr:colOff>
      <xdr:row>24</xdr:row>
      <xdr:rowOff>0</xdr:rowOff>
    </xdr:from>
    <xdr:to>
      <xdr:col>19</xdr:col>
      <xdr:colOff>419100</xdr:colOff>
      <xdr:row>40</xdr:row>
      <xdr:rowOff>0</xdr:rowOff>
    </xdr:to>
    <xdr:graphicFrame macro="">
      <xdr:nvGraphicFramePr>
        <xdr:cNvPr id="7" name="ExperienciaPorDesgaste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4"/>
  <sheetViews>
    <sheetView tabSelected="1" workbookViewId="0">
      <selection sqref="A1:P1"/>
    </sheetView>
  </sheetViews>
  <sheetFormatPr defaultRowHeight="15" x14ac:dyDescent="0.25"/>
  <cols>
    <col min="1" max="1" width="15" customWidth="1"/>
    <col min="2" max="2" width="13.42578125" customWidth="1"/>
    <col min="3" max="3" width="12.140625" customWidth="1"/>
    <col min="4" max="4" width="17.7109375" customWidth="1"/>
    <col min="5" max="5" width="13.85546875" customWidth="1"/>
    <col min="6" max="6" width="20.7109375" customWidth="1"/>
    <col min="9" max="9" width="18" customWidth="1"/>
    <col min="10" max="10" width="9.5703125" customWidth="1"/>
    <col min="11" max="11" width="9.140625" customWidth="1"/>
    <col min="12" max="12" width="10.42578125" customWidth="1"/>
    <col min="13" max="13" width="11.5703125" customWidth="1"/>
    <col min="14" max="14" width="12" customWidth="1"/>
    <col min="15" max="15" width="13.140625" customWidth="1"/>
  </cols>
  <sheetData>
    <row r="1" spans="1:16" ht="18.75" x14ac:dyDescent="0.3">
      <c r="A1" s="28" t="s">
        <v>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</row>
    <row r="2" spans="1:16" x14ac:dyDescent="0.25">
      <c r="A2" s="30" t="s">
        <v>1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</row>
    <row r="4" spans="1:16" x14ac:dyDescent="0.25">
      <c r="A4" s="1" t="s">
        <v>2</v>
      </c>
      <c r="I4" s="1" t="s">
        <v>3</v>
      </c>
    </row>
    <row r="5" spans="1:16" x14ac:dyDescent="0.25">
      <c r="A5" s="10" t="s">
        <v>4</v>
      </c>
      <c r="B5" s="10" t="s">
        <v>5</v>
      </c>
      <c r="C5" s="10" t="s">
        <v>6</v>
      </c>
      <c r="D5" s="10" t="s">
        <v>7</v>
      </c>
      <c r="E5" s="10" t="s">
        <v>8</v>
      </c>
      <c r="I5" s="10" t="s">
        <v>4</v>
      </c>
      <c r="J5" s="10" t="s">
        <v>9</v>
      </c>
      <c r="K5" s="10" t="s">
        <v>10</v>
      </c>
      <c r="L5" s="10" t="s">
        <v>11</v>
      </c>
      <c r="M5" s="10" t="s">
        <v>12</v>
      </c>
      <c r="N5" s="10" t="s">
        <v>13</v>
      </c>
      <c r="O5" s="10" t="s">
        <v>14</v>
      </c>
    </row>
    <row r="6" spans="1:16" x14ac:dyDescent="0.25">
      <c r="A6" s="20" t="s">
        <v>15</v>
      </c>
      <c r="B6" s="6">
        <v>0.46875000000000006</v>
      </c>
      <c r="C6" s="6">
        <v>0.18750000000000003</v>
      </c>
      <c r="D6" s="8">
        <v>0</v>
      </c>
      <c r="E6" s="6">
        <v>0.65625000000000022</v>
      </c>
      <c r="I6" s="20" t="s">
        <v>16</v>
      </c>
      <c r="J6" s="4">
        <v>0</v>
      </c>
      <c r="K6" s="6">
        <v>0.15750000000000003</v>
      </c>
      <c r="L6" s="11">
        <v>14.572318639152048</v>
      </c>
      <c r="M6" s="11">
        <v>4.4002518166900151</v>
      </c>
      <c r="N6" s="13" t="s">
        <v>17</v>
      </c>
      <c r="O6" s="13" t="s">
        <v>17</v>
      </c>
    </row>
    <row r="7" spans="1:16" x14ac:dyDescent="0.25">
      <c r="A7" s="21" t="s">
        <v>18</v>
      </c>
      <c r="B7" s="6">
        <v>0.70125000000000004</v>
      </c>
      <c r="C7" s="6">
        <v>0.28050000000000008</v>
      </c>
      <c r="D7" s="6">
        <v>9.8175000000000012E-2</v>
      </c>
      <c r="E7" s="6">
        <v>1.0799250000000002</v>
      </c>
      <c r="I7" s="20" t="s">
        <v>19</v>
      </c>
      <c r="J7" s="4">
        <v>0.5</v>
      </c>
      <c r="K7" s="6">
        <v>0.23625000000000004</v>
      </c>
      <c r="L7" s="11">
        <v>21.041674655709098</v>
      </c>
      <c r="M7" s="11">
        <v>6.5272279383972514</v>
      </c>
      <c r="N7" s="13" t="s">
        <v>17</v>
      </c>
      <c r="O7" s="13" t="s">
        <v>17</v>
      </c>
    </row>
    <row r="8" spans="1:16" x14ac:dyDescent="0.25">
      <c r="A8" s="22" t="s">
        <v>20</v>
      </c>
      <c r="B8" s="6">
        <v>1.625</v>
      </c>
      <c r="C8" s="6">
        <v>0.65</v>
      </c>
      <c r="D8" s="6">
        <v>0.22750000000000004</v>
      </c>
      <c r="E8" s="6">
        <v>2.5025000000000004</v>
      </c>
      <c r="I8" s="20" t="s">
        <v>21</v>
      </c>
      <c r="J8" s="4">
        <v>1</v>
      </c>
      <c r="K8" s="6">
        <v>0.31500000000000006</v>
      </c>
      <c r="L8" s="11">
        <v>27.021112573094321</v>
      </c>
      <c r="M8" s="11">
        <v>8.6068814728771805</v>
      </c>
      <c r="N8" s="13" t="s">
        <v>17</v>
      </c>
      <c r="O8" s="13" t="s">
        <v>17</v>
      </c>
    </row>
    <row r="9" spans="1:16" x14ac:dyDescent="0.25">
      <c r="A9" s="23" t="s">
        <v>22</v>
      </c>
      <c r="B9" s="6">
        <v>2.7162499999999996</v>
      </c>
      <c r="C9" s="6">
        <v>1.0864999999999998</v>
      </c>
      <c r="D9" s="6">
        <v>0.38027499999999997</v>
      </c>
      <c r="E9" s="6">
        <v>4.1830249999999989</v>
      </c>
      <c r="I9" s="21" t="s">
        <v>23</v>
      </c>
      <c r="J9" s="4">
        <v>0</v>
      </c>
      <c r="K9" s="6">
        <v>0.25410000000000005</v>
      </c>
      <c r="L9" s="11">
        <v>22.438576325539895</v>
      </c>
      <c r="M9" s="11">
        <v>6.3869135708381153</v>
      </c>
      <c r="N9" s="11">
        <v>2.2835237588950674</v>
      </c>
      <c r="O9" s="16">
        <v>43</v>
      </c>
    </row>
    <row r="10" spans="1:16" x14ac:dyDescent="0.25">
      <c r="I10" s="21" t="s">
        <v>24</v>
      </c>
      <c r="J10" s="4">
        <v>0.5</v>
      </c>
      <c r="K10" s="6">
        <v>0.39385500000000012</v>
      </c>
      <c r="L10" s="11">
        <v>32.554815533191139</v>
      </c>
      <c r="M10" s="11">
        <v>9.7241316564357412</v>
      </c>
      <c r="N10" s="11">
        <v>3.5171583318232003</v>
      </c>
      <c r="O10" s="16">
        <v>28</v>
      </c>
    </row>
    <row r="11" spans="1:16" x14ac:dyDescent="0.25">
      <c r="I11" s="21" t="s">
        <v>25</v>
      </c>
      <c r="J11" s="4">
        <v>1</v>
      </c>
      <c r="K11" s="6">
        <v>0.53361000000000014</v>
      </c>
      <c r="L11" s="11">
        <v>41.351606349384873</v>
      </c>
      <c r="M11" s="11">
        <v>12.942381070283949</v>
      </c>
      <c r="N11" s="11">
        <v>4.7352187219925401</v>
      </c>
      <c r="O11" s="16">
        <v>21</v>
      </c>
    </row>
    <row r="12" spans="1:16" x14ac:dyDescent="0.25">
      <c r="A12" s="1" t="s">
        <v>26</v>
      </c>
      <c r="I12" s="22" t="s">
        <v>27</v>
      </c>
      <c r="J12" s="4">
        <v>0</v>
      </c>
      <c r="K12" s="6">
        <v>0.57750000000000001</v>
      </c>
      <c r="L12" s="11">
        <v>43.870013637680849</v>
      </c>
      <c r="M12" s="11">
        <v>13.929202357494219</v>
      </c>
      <c r="N12" s="11">
        <v>5.1145678944198742</v>
      </c>
      <c r="O12" s="16">
        <v>19</v>
      </c>
    </row>
    <row r="13" spans="1:16" x14ac:dyDescent="0.25">
      <c r="A13" s="10" t="s">
        <v>4</v>
      </c>
      <c r="B13" s="10" t="s">
        <v>28</v>
      </c>
      <c r="C13" s="10" t="s">
        <v>29</v>
      </c>
      <c r="D13" s="10" t="s">
        <v>30</v>
      </c>
      <c r="E13" s="10" t="s">
        <v>31</v>
      </c>
      <c r="F13" s="10" t="s">
        <v>32</v>
      </c>
      <c r="I13" s="22" t="s">
        <v>33</v>
      </c>
      <c r="J13" s="4">
        <v>0.5</v>
      </c>
      <c r="K13" s="6">
        <v>0.92400000000000015</v>
      </c>
      <c r="L13" s="11">
        <v>60.307185117411755</v>
      </c>
      <c r="M13" s="11">
        <v>21.337213893344664</v>
      </c>
      <c r="N13" s="11">
        <v>8.0568743904875344</v>
      </c>
      <c r="O13" s="16">
        <v>12</v>
      </c>
    </row>
    <row r="14" spans="1:16" x14ac:dyDescent="0.25">
      <c r="A14" s="20" t="s">
        <v>15</v>
      </c>
      <c r="B14" s="6">
        <v>0.22500000000000003</v>
      </c>
      <c r="C14" s="6">
        <v>0.15000000000000002</v>
      </c>
      <c r="D14" s="6">
        <v>0.30000000000000004</v>
      </c>
      <c r="E14" s="8">
        <v>0</v>
      </c>
      <c r="F14" s="24">
        <v>0</v>
      </c>
      <c r="I14" s="22" t="s">
        <v>34</v>
      </c>
      <c r="J14" s="4">
        <v>1</v>
      </c>
      <c r="K14" s="6">
        <v>1.2705</v>
      </c>
      <c r="L14" s="11">
        <v>71.930875893440657</v>
      </c>
      <c r="M14" s="11">
        <v>28.107626656807383</v>
      </c>
      <c r="N14" s="11">
        <v>10.90794277629219</v>
      </c>
      <c r="O14" s="16">
        <v>9</v>
      </c>
    </row>
    <row r="15" spans="1:16" x14ac:dyDescent="0.25">
      <c r="A15" s="21" t="s">
        <v>18</v>
      </c>
      <c r="B15" s="6">
        <v>0.34100000000000008</v>
      </c>
      <c r="C15" s="6">
        <v>0.22000000000000006</v>
      </c>
      <c r="D15" s="6">
        <v>0.46200000000000013</v>
      </c>
      <c r="E15" s="6">
        <v>0.11935000000000003</v>
      </c>
      <c r="F15" s="25">
        <v>101.9</v>
      </c>
      <c r="I15" s="23" t="s">
        <v>35</v>
      </c>
      <c r="J15" s="4">
        <v>0</v>
      </c>
      <c r="K15" s="6">
        <v>0.94709999999999994</v>
      </c>
      <c r="L15" s="11">
        <v>61.213579975829887</v>
      </c>
      <c r="M15" s="11">
        <v>21.807777507452276</v>
      </c>
      <c r="N15" s="11">
        <v>8.2497523615152843</v>
      </c>
      <c r="O15" s="16">
        <v>12</v>
      </c>
    </row>
    <row r="16" spans="1:16" x14ac:dyDescent="0.25">
      <c r="A16" s="22" t="s">
        <v>20</v>
      </c>
      <c r="B16" s="6">
        <v>0.8</v>
      </c>
      <c r="C16" s="6">
        <v>0.5</v>
      </c>
      <c r="D16" s="6">
        <v>1.1000000000000001</v>
      </c>
      <c r="E16" s="6">
        <v>0.28000000000000003</v>
      </c>
      <c r="F16" s="25">
        <v>44</v>
      </c>
      <c r="I16" s="23" t="s">
        <v>36</v>
      </c>
      <c r="J16" s="4">
        <v>0.5</v>
      </c>
      <c r="K16" s="6">
        <v>1.5627149999999999</v>
      </c>
      <c r="L16" s="11">
        <v>79.04336744528436</v>
      </c>
      <c r="M16" s="11">
        <v>33.362319822670926</v>
      </c>
      <c r="N16" s="11">
        <v>13.24351370629474</v>
      </c>
      <c r="O16" s="16">
        <v>7</v>
      </c>
    </row>
    <row r="17" spans="1:15" x14ac:dyDescent="0.25">
      <c r="A17" s="23" t="s">
        <v>22</v>
      </c>
      <c r="B17" s="6">
        <v>1.353</v>
      </c>
      <c r="C17" s="6">
        <v>0.82000000000000006</v>
      </c>
      <c r="D17" s="6">
        <v>1.8859999999999999</v>
      </c>
      <c r="E17" s="6">
        <v>0.47355000000000003</v>
      </c>
      <c r="F17" s="25">
        <v>26.3</v>
      </c>
      <c r="I17" s="23" t="s">
        <v>37</v>
      </c>
      <c r="J17" s="4">
        <v>1</v>
      </c>
      <c r="K17" s="6">
        <v>2.1783299999999999</v>
      </c>
      <c r="L17" s="11">
        <v>88.67695322848337</v>
      </c>
      <c r="M17" s="11">
        <v>43.209435953310894</v>
      </c>
      <c r="N17" s="11">
        <v>17.965475758860038</v>
      </c>
      <c r="O17" s="16">
        <v>5</v>
      </c>
    </row>
    <row r="20" spans="1:15" x14ac:dyDescent="0.25">
      <c r="A20" s="1" t="s">
        <v>38</v>
      </c>
    </row>
    <row r="21" spans="1:15" x14ac:dyDescent="0.25">
      <c r="A21" s="10" t="s">
        <v>39</v>
      </c>
      <c r="B21" s="10" t="s">
        <v>40</v>
      </c>
      <c r="C21" s="10" t="s">
        <v>41</v>
      </c>
      <c r="D21" s="10" t="s">
        <v>42</v>
      </c>
    </row>
    <row r="22" spans="1:15" x14ac:dyDescent="0.25">
      <c r="A22" s="13" t="s">
        <v>43</v>
      </c>
      <c r="B22" s="26">
        <v>84</v>
      </c>
      <c r="C22" s="26">
        <v>167</v>
      </c>
      <c r="D22" s="26">
        <v>267</v>
      </c>
    </row>
    <row r="23" spans="1:15" x14ac:dyDescent="0.25">
      <c r="A23" s="13" t="s">
        <v>44</v>
      </c>
      <c r="B23" s="26">
        <v>28</v>
      </c>
      <c r="C23" s="26">
        <v>56</v>
      </c>
      <c r="D23" s="26">
        <v>89</v>
      </c>
    </row>
    <row r="24" spans="1:15" x14ac:dyDescent="0.25">
      <c r="A24" s="13" t="s">
        <v>45</v>
      </c>
      <c r="B24" s="26">
        <v>14</v>
      </c>
      <c r="C24" s="26">
        <v>28</v>
      </c>
      <c r="D24" s="26">
        <v>45</v>
      </c>
    </row>
  </sheetData>
  <mergeCells count="2">
    <mergeCell ref="A1:P1"/>
    <mergeCell ref="A2:P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6"/>
  <sheetViews>
    <sheetView workbookViewId="0"/>
  </sheetViews>
  <sheetFormatPr defaultRowHeight="15" x14ac:dyDescent="0.25"/>
  <cols>
    <col min="1" max="1" width="19.42578125" customWidth="1"/>
    <col min="2" max="5" width="9.140625" customWidth="1"/>
    <col min="9" max="9" width="54" customWidth="1"/>
    <col min="10" max="10" width="13.85546875" customWidth="1"/>
    <col min="11" max="11" width="10.42578125" customWidth="1"/>
    <col min="12" max="12" width="11.5703125" customWidth="1"/>
    <col min="13" max="13" width="12" customWidth="1"/>
    <col min="14" max="14" width="13.140625" customWidth="1"/>
  </cols>
  <sheetData>
    <row r="1" spans="1:16" ht="18.75" x14ac:dyDescent="0.3">
      <c r="A1" s="28" t="s">
        <v>46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</row>
    <row r="2" spans="1:16" x14ac:dyDescent="0.25">
      <c r="A2" s="30" t="s">
        <v>47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</row>
    <row r="4" spans="1:16" x14ac:dyDescent="0.25">
      <c r="A4" s="2" t="s">
        <v>48</v>
      </c>
      <c r="I4" s="1" t="s">
        <v>49</v>
      </c>
    </row>
    <row r="5" spans="1:16" x14ac:dyDescent="0.25">
      <c r="A5" s="3" t="s">
        <v>9</v>
      </c>
      <c r="B5" s="3" t="s">
        <v>5</v>
      </c>
      <c r="C5" s="3" t="s">
        <v>6</v>
      </c>
      <c r="D5" s="3" t="s">
        <v>7</v>
      </c>
      <c r="E5" s="3" t="s">
        <v>8</v>
      </c>
      <c r="I5" s="3" t="s">
        <v>9</v>
      </c>
      <c r="J5" s="3" t="s">
        <v>50</v>
      </c>
    </row>
    <row r="6" spans="1:16" x14ac:dyDescent="0.25">
      <c r="A6" s="4">
        <v>0</v>
      </c>
      <c r="B6" s="6">
        <v>3.7500000000000006E-2</v>
      </c>
      <c r="C6" s="6">
        <v>1.5000000000000003E-2</v>
      </c>
      <c r="D6" s="8">
        <v>0</v>
      </c>
      <c r="E6" s="6">
        <v>5.2500000000000005E-2</v>
      </c>
      <c r="I6" s="4">
        <v>0</v>
      </c>
      <c r="J6" s="6">
        <v>0.66736184452611946</v>
      </c>
    </row>
    <row r="7" spans="1:16" x14ac:dyDescent="0.25">
      <c r="A7" s="5">
        <v>0.25</v>
      </c>
      <c r="B7" s="7">
        <v>4.6875000000000007E-2</v>
      </c>
      <c r="C7" s="7">
        <v>1.8750000000000003E-2</v>
      </c>
      <c r="D7" s="9">
        <v>0</v>
      </c>
      <c r="E7" s="7">
        <v>6.5625000000000017E-2</v>
      </c>
      <c r="I7" s="4">
        <v>0.25</v>
      </c>
      <c r="J7" s="6">
        <v>0.74738154207964924</v>
      </c>
    </row>
    <row r="8" spans="1:16" x14ac:dyDescent="0.25">
      <c r="A8" s="4">
        <v>0.5</v>
      </c>
      <c r="B8" s="6">
        <v>5.6250000000000008E-2</v>
      </c>
      <c r="C8" s="6">
        <v>2.2500000000000006E-2</v>
      </c>
      <c r="D8" s="8">
        <v>0</v>
      </c>
      <c r="E8" s="6">
        <v>7.8750000000000014E-2</v>
      </c>
      <c r="I8" s="4">
        <v>0.5</v>
      </c>
      <c r="J8" s="6">
        <v>0.80815163795282952</v>
      </c>
    </row>
    <row r="9" spans="1:16" x14ac:dyDescent="0.25">
      <c r="A9" s="4">
        <v>0.75</v>
      </c>
      <c r="B9" s="6">
        <v>6.5625000000000017E-2</v>
      </c>
      <c r="C9" s="6">
        <v>2.6250000000000009E-2</v>
      </c>
      <c r="D9" s="8">
        <v>0</v>
      </c>
      <c r="E9" s="6">
        <v>9.1875000000000026E-2</v>
      </c>
      <c r="I9" s="4">
        <v>0.75</v>
      </c>
      <c r="J9" s="6">
        <v>0.85430283153819719</v>
      </c>
    </row>
    <row r="10" spans="1:16" x14ac:dyDescent="0.25">
      <c r="A10" s="4">
        <v>1</v>
      </c>
      <c r="B10" s="6">
        <v>7.5000000000000011E-2</v>
      </c>
      <c r="C10" s="6">
        <v>3.0000000000000006E-2</v>
      </c>
      <c r="D10" s="8">
        <v>0</v>
      </c>
      <c r="E10" s="6">
        <v>0.10500000000000001</v>
      </c>
      <c r="I10" s="4">
        <v>1</v>
      </c>
      <c r="J10" s="6">
        <v>0.88935185752293455</v>
      </c>
    </row>
    <row r="12" spans="1:16" x14ac:dyDescent="0.25">
      <c r="A12" s="2" t="s">
        <v>51</v>
      </c>
      <c r="I12" s="1" t="s">
        <v>52</v>
      </c>
    </row>
    <row r="13" spans="1:16" x14ac:dyDescent="0.25">
      <c r="A13" s="3" t="s">
        <v>9</v>
      </c>
      <c r="B13" s="3" t="s">
        <v>5</v>
      </c>
      <c r="C13" s="3" t="s">
        <v>6</v>
      </c>
      <c r="D13" s="3" t="s">
        <v>7</v>
      </c>
      <c r="E13" s="3" t="s">
        <v>8</v>
      </c>
      <c r="I13" s="10" t="s">
        <v>9</v>
      </c>
      <c r="J13" s="10" t="s">
        <v>10</v>
      </c>
      <c r="K13" s="10" t="s">
        <v>11</v>
      </c>
      <c r="L13" s="10" t="s">
        <v>12</v>
      </c>
      <c r="M13" s="10" t="s">
        <v>13</v>
      </c>
      <c r="N13" s="10" t="s">
        <v>14</v>
      </c>
    </row>
    <row r="14" spans="1:16" x14ac:dyDescent="0.25">
      <c r="A14" s="4">
        <v>0</v>
      </c>
      <c r="B14" s="6">
        <v>0.37500000000000006</v>
      </c>
      <c r="C14" s="6">
        <v>0.15000000000000002</v>
      </c>
      <c r="D14" s="8">
        <v>0</v>
      </c>
      <c r="E14" s="6">
        <v>0.52500000000000002</v>
      </c>
      <c r="I14" s="4">
        <v>0</v>
      </c>
      <c r="J14" s="6">
        <v>0.15750000000000003</v>
      </c>
      <c r="K14" s="11">
        <v>14.572318639152048</v>
      </c>
      <c r="L14" s="11">
        <v>4.4002518166900151</v>
      </c>
      <c r="M14" s="13" t="s">
        <v>17</v>
      </c>
      <c r="N14" s="13" t="s">
        <v>17</v>
      </c>
    </row>
    <row r="15" spans="1:16" x14ac:dyDescent="0.25">
      <c r="A15" s="5">
        <v>0.25</v>
      </c>
      <c r="B15" s="7">
        <v>0.46875000000000006</v>
      </c>
      <c r="C15" s="7">
        <v>0.18750000000000003</v>
      </c>
      <c r="D15" s="9">
        <v>0</v>
      </c>
      <c r="E15" s="7">
        <v>0.65625000000000022</v>
      </c>
      <c r="I15" s="5">
        <v>0.25</v>
      </c>
      <c r="J15" s="7">
        <v>0.19687500000000005</v>
      </c>
      <c r="K15" s="12">
        <v>17.870671144235896</v>
      </c>
      <c r="L15" s="12">
        <v>5.4697219347940589</v>
      </c>
      <c r="M15" s="14" t="s">
        <v>17</v>
      </c>
      <c r="N15" s="14" t="s">
        <v>17</v>
      </c>
    </row>
    <row r="16" spans="1:16" x14ac:dyDescent="0.25">
      <c r="A16" s="4">
        <v>0.5</v>
      </c>
      <c r="B16" s="6">
        <v>0.56250000000000011</v>
      </c>
      <c r="C16" s="6">
        <v>0.22500000000000006</v>
      </c>
      <c r="D16" s="8">
        <v>0</v>
      </c>
      <c r="E16" s="6">
        <v>0.78750000000000009</v>
      </c>
      <c r="I16" s="4">
        <v>0.5</v>
      </c>
      <c r="J16" s="6">
        <v>0.23625000000000004</v>
      </c>
      <c r="K16" s="11">
        <v>21.041674655709098</v>
      </c>
      <c r="L16" s="11">
        <v>6.5272279383972514</v>
      </c>
      <c r="M16" s="13" t="s">
        <v>17</v>
      </c>
      <c r="N16" s="13" t="s">
        <v>17</v>
      </c>
    </row>
    <row r="17" spans="1:14" x14ac:dyDescent="0.25">
      <c r="A17" s="4">
        <v>0.75</v>
      </c>
      <c r="B17" s="6">
        <v>0.65625000000000022</v>
      </c>
      <c r="C17" s="6">
        <v>0.26250000000000007</v>
      </c>
      <c r="D17" s="8">
        <v>0</v>
      </c>
      <c r="E17" s="6">
        <v>0.91875000000000029</v>
      </c>
      <c r="I17" s="4">
        <v>0.75</v>
      </c>
      <c r="J17" s="6">
        <v>0.27562500000000006</v>
      </c>
      <c r="K17" s="11">
        <v>24.090246102901915</v>
      </c>
      <c r="L17" s="11">
        <v>7.5729036695147851</v>
      </c>
      <c r="M17" s="13" t="s">
        <v>17</v>
      </c>
      <c r="N17" s="13" t="s">
        <v>17</v>
      </c>
    </row>
    <row r="18" spans="1:14" x14ac:dyDescent="0.25">
      <c r="A18" s="4">
        <v>1</v>
      </c>
      <c r="B18" s="6">
        <v>0.75000000000000011</v>
      </c>
      <c r="C18" s="6">
        <v>0.30000000000000004</v>
      </c>
      <c r="D18" s="8">
        <v>0</v>
      </c>
      <c r="E18" s="6">
        <v>1.05</v>
      </c>
      <c r="I18" s="4">
        <v>1</v>
      </c>
      <c r="J18" s="6">
        <v>0.31500000000000006</v>
      </c>
      <c r="K18" s="11">
        <v>27.021112573094321</v>
      </c>
      <c r="L18" s="11">
        <v>8.6068814728771805</v>
      </c>
      <c r="M18" s="13" t="s">
        <v>17</v>
      </c>
      <c r="N18" s="13" t="s">
        <v>17</v>
      </c>
    </row>
    <row r="20" spans="1:14" x14ac:dyDescent="0.25">
      <c r="A20" s="2" t="s">
        <v>53</v>
      </c>
      <c r="I20" s="1" t="s">
        <v>54</v>
      </c>
    </row>
    <row r="21" spans="1:14" x14ac:dyDescent="0.25">
      <c r="A21" s="3" t="s">
        <v>9</v>
      </c>
      <c r="B21" s="3" t="s">
        <v>5</v>
      </c>
      <c r="C21" s="3" t="s">
        <v>6</v>
      </c>
      <c r="D21" s="3" t="s">
        <v>7</v>
      </c>
      <c r="E21" s="3" t="s">
        <v>8</v>
      </c>
      <c r="I21" s="10" t="s">
        <v>9</v>
      </c>
      <c r="J21" s="10" t="s">
        <v>5</v>
      </c>
      <c r="K21" s="10" t="s">
        <v>6</v>
      </c>
      <c r="L21" s="10" t="s">
        <v>7</v>
      </c>
    </row>
    <row r="22" spans="1:14" x14ac:dyDescent="0.25">
      <c r="A22" s="4">
        <v>0</v>
      </c>
      <c r="B22" s="6">
        <v>3.7500000000000004</v>
      </c>
      <c r="C22" s="6">
        <v>1.5000000000000002</v>
      </c>
      <c r="D22" s="8">
        <v>0</v>
      </c>
      <c r="E22" s="6">
        <v>5.2500000000000009</v>
      </c>
      <c r="I22" s="4">
        <v>0</v>
      </c>
      <c r="J22" s="6">
        <v>0.11250000000000002</v>
      </c>
      <c r="K22" s="6">
        <v>4.5000000000000012E-2</v>
      </c>
      <c r="L22" s="8">
        <v>0</v>
      </c>
    </row>
    <row r="23" spans="1:14" x14ac:dyDescent="0.25">
      <c r="A23" s="5">
        <v>0.25</v>
      </c>
      <c r="B23" s="7">
        <v>4.6875000000000009</v>
      </c>
      <c r="C23" s="7">
        <v>1.8750000000000002</v>
      </c>
      <c r="D23" s="9">
        <v>0</v>
      </c>
      <c r="E23" s="7">
        <v>6.5625000000000018</v>
      </c>
      <c r="I23" s="4">
        <v>0.25</v>
      </c>
      <c r="J23" s="6">
        <v>0.14062500000000003</v>
      </c>
      <c r="K23" s="6">
        <v>5.6250000000000008E-2</v>
      </c>
      <c r="L23" s="8">
        <v>0</v>
      </c>
    </row>
    <row r="24" spans="1:14" x14ac:dyDescent="0.25">
      <c r="A24" s="4">
        <v>0.5</v>
      </c>
      <c r="B24" s="6">
        <v>5.6250000000000009</v>
      </c>
      <c r="C24" s="6">
        <v>2.2500000000000004</v>
      </c>
      <c r="D24" s="8">
        <v>0</v>
      </c>
      <c r="E24" s="6">
        <v>7.8750000000000018</v>
      </c>
      <c r="I24" s="4">
        <v>0.5</v>
      </c>
      <c r="J24" s="6">
        <v>0.16875000000000001</v>
      </c>
      <c r="K24" s="6">
        <v>6.7500000000000018E-2</v>
      </c>
      <c r="L24" s="8">
        <v>0</v>
      </c>
    </row>
    <row r="25" spans="1:14" x14ac:dyDescent="0.25">
      <c r="A25" s="4">
        <v>0.75</v>
      </c>
      <c r="B25" s="6">
        <v>6.5625000000000018</v>
      </c>
      <c r="C25" s="6">
        <v>2.6250000000000009</v>
      </c>
      <c r="D25" s="8">
        <v>0</v>
      </c>
      <c r="E25" s="6">
        <v>9.1875000000000018</v>
      </c>
      <c r="I25" s="4">
        <v>0.75</v>
      </c>
      <c r="J25" s="6">
        <v>0.19687500000000005</v>
      </c>
      <c r="K25" s="6">
        <v>7.8750000000000028E-2</v>
      </c>
      <c r="L25" s="8">
        <v>0</v>
      </c>
    </row>
    <row r="26" spans="1:14" x14ac:dyDescent="0.25">
      <c r="A26" s="4">
        <v>1</v>
      </c>
      <c r="B26" s="6">
        <v>7.5000000000000009</v>
      </c>
      <c r="C26" s="6">
        <v>3.0000000000000004</v>
      </c>
      <c r="D26" s="8">
        <v>0</v>
      </c>
      <c r="E26" s="6">
        <v>10.500000000000002</v>
      </c>
      <c r="I26" s="4">
        <v>1</v>
      </c>
      <c r="J26" s="6">
        <v>0.22500000000000003</v>
      </c>
      <c r="K26" s="6">
        <v>9.0000000000000024E-2</v>
      </c>
      <c r="L26" s="8">
        <v>0</v>
      </c>
    </row>
  </sheetData>
  <mergeCells count="2">
    <mergeCell ref="A1:P1"/>
    <mergeCell ref="A2:P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26"/>
  <sheetViews>
    <sheetView workbookViewId="0"/>
  </sheetViews>
  <sheetFormatPr defaultRowHeight="15" x14ac:dyDescent="0.25"/>
  <cols>
    <col min="1" max="1" width="19.42578125" customWidth="1"/>
    <col min="2" max="5" width="9.140625" customWidth="1"/>
    <col min="9" max="9" width="54" customWidth="1"/>
    <col min="10" max="10" width="13.85546875" customWidth="1"/>
    <col min="11" max="11" width="10.42578125" customWidth="1"/>
    <col min="12" max="12" width="11.5703125" customWidth="1"/>
    <col min="13" max="13" width="12" customWidth="1"/>
    <col min="14" max="14" width="13.140625" customWidth="1"/>
  </cols>
  <sheetData>
    <row r="1" spans="1:16" ht="18.75" x14ac:dyDescent="0.3">
      <c r="A1" s="28" t="s">
        <v>55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</row>
    <row r="2" spans="1:16" x14ac:dyDescent="0.25">
      <c r="A2" s="30" t="s">
        <v>56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</row>
    <row r="4" spans="1:16" x14ac:dyDescent="0.25">
      <c r="A4" s="15" t="s">
        <v>48</v>
      </c>
      <c r="I4" s="1" t="s">
        <v>49</v>
      </c>
    </row>
    <row r="5" spans="1:16" x14ac:dyDescent="0.25">
      <c r="A5" s="3" t="s">
        <v>9</v>
      </c>
      <c r="B5" s="3" t="s">
        <v>5</v>
      </c>
      <c r="C5" s="3" t="s">
        <v>6</v>
      </c>
      <c r="D5" s="3" t="s">
        <v>7</v>
      </c>
      <c r="E5" s="3" t="s">
        <v>8</v>
      </c>
      <c r="I5" s="3" t="s">
        <v>9</v>
      </c>
      <c r="J5" s="3" t="s">
        <v>50</v>
      </c>
    </row>
    <row r="6" spans="1:16" x14ac:dyDescent="0.25">
      <c r="A6" s="4">
        <v>0</v>
      </c>
      <c r="B6" s="6">
        <v>5.5000000000000007E-2</v>
      </c>
      <c r="C6" s="6">
        <v>2.2000000000000006E-2</v>
      </c>
      <c r="D6" s="6">
        <v>7.700000000000002E-3</v>
      </c>
      <c r="E6" s="6">
        <v>8.4700000000000011E-2</v>
      </c>
      <c r="I6" s="4">
        <v>0</v>
      </c>
      <c r="J6" s="6">
        <v>1.280677297141557</v>
      </c>
    </row>
    <row r="7" spans="1:16" x14ac:dyDescent="0.25">
      <c r="A7" s="5">
        <v>0.25</v>
      </c>
      <c r="B7" s="7">
        <v>7.0125000000000007E-2</v>
      </c>
      <c r="C7" s="7">
        <v>2.8050000000000005E-2</v>
      </c>
      <c r="D7" s="7">
        <v>9.8175000000000016E-3</v>
      </c>
      <c r="E7" s="7">
        <v>0.10799250000000002</v>
      </c>
      <c r="I7" s="4">
        <v>0.25</v>
      </c>
      <c r="J7" s="6">
        <v>1.4818770012633145</v>
      </c>
    </row>
    <row r="8" spans="1:16" x14ac:dyDescent="0.25">
      <c r="A8" s="4">
        <v>0.5</v>
      </c>
      <c r="B8" s="6">
        <v>8.525000000000002E-2</v>
      </c>
      <c r="C8" s="6">
        <v>3.4100000000000012E-2</v>
      </c>
      <c r="D8" s="6">
        <v>1.1935000000000005E-2</v>
      </c>
      <c r="E8" s="6">
        <v>0.13128500000000004</v>
      </c>
      <c r="I8" s="4">
        <v>0.5</v>
      </c>
      <c r="J8" s="6">
        <v>1.6312657010282643</v>
      </c>
    </row>
    <row r="9" spans="1:16" x14ac:dyDescent="0.25">
      <c r="A9" s="4">
        <v>0.75</v>
      </c>
      <c r="B9" s="6">
        <v>0.10037500000000001</v>
      </c>
      <c r="C9" s="6">
        <v>4.0150000000000005E-2</v>
      </c>
      <c r="D9" s="6">
        <v>1.4052500000000002E-2</v>
      </c>
      <c r="E9" s="6">
        <v>0.15457750000000001</v>
      </c>
      <c r="I9" s="4">
        <v>0.75</v>
      </c>
      <c r="J9" s="6">
        <v>1.7401331721530853</v>
      </c>
    </row>
    <row r="10" spans="1:16" x14ac:dyDescent="0.25">
      <c r="A10" s="4">
        <v>1</v>
      </c>
      <c r="B10" s="6">
        <v>0.11550000000000002</v>
      </c>
      <c r="C10" s="6">
        <v>4.6200000000000012E-2</v>
      </c>
      <c r="D10" s="6">
        <v>1.6170000000000004E-2</v>
      </c>
      <c r="E10" s="6">
        <v>0.17787000000000003</v>
      </c>
      <c r="I10" s="4">
        <v>1</v>
      </c>
      <c r="J10" s="6">
        <v>1.8183333151711769</v>
      </c>
    </row>
    <row r="12" spans="1:16" x14ac:dyDescent="0.25">
      <c r="A12" s="15" t="s">
        <v>51</v>
      </c>
      <c r="I12" s="1" t="s">
        <v>52</v>
      </c>
    </row>
    <row r="13" spans="1:16" x14ac:dyDescent="0.25">
      <c r="A13" s="3" t="s">
        <v>9</v>
      </c>
      <c r="B13" s="3" t="s">
        <v>5</v>
      </c>
      <c r="C13" s="3" t="s">
        <v>6</v>
      </c>
      <c r="D13" s="3" t="s">
        <v>7</v>
      </c>
      <c r="E13" s="3" t="s">
        <v>8</v>
      </c>
      <c r="I13" s="10" t="s">
        <v>9</v>
      </c>
      <c r="J13" s="10" t="s">
        <v>10</v>
      </c>
      <c r="K13" s="10" t="s">
        <v>11</v>
      </c>
      <c r="L13" s="10" t="s">
        <v>12</v>
      </c>
      <c r="M13" s="10" t="s">
        <v>13</v>
      </c>
      <c r="N13" s="10" t="s">
        <v>14</v>
      </c>
    </row>
    <row r="14" spans="1:16" x14ac:dyDescent="0.25">
      <c r="A14" s="4">
        <v>0</v>
      </c>
      <c r="B14" s="6">
        <v>0.55000000000000004</v>
      </c>
      <c r="C14" s="6">
        <v>0.22000000000000006</v>
      </c>
      <c r="D14" s="6">
        <v>7.7000000000000013E-2</v>
      </c>
      <c r="E14" s="6">
        <v>0.84700000000000009</v>
      </c>
      <c r="I14" s="4">
        <v>0</v>
      </c>
      <c r="J14" s="6">
        <v>0.25410000000000005</v>
      </c>
      <c r="K14" s="11">
        <v>22.438576325539895</v>
      </c>
      <c r="L14" s="11">
        <v>6.3869135708381153</v>
      </c>
      <c r="M14" s="11">
        <v>2.2835237588950674</v>
      </c>
      <c r="N14" s="16">
        <v>43</v>
      </c>
    </row>
    <row r="15" spans="1:16" x14ac:dyDescent="0.25">
      <c r="A15" s="5">
        <v>0.25</v>
      </c>
      <c r="B15" s="7">
        <v>0.70125000000000004</v>
      </c>
      <c r="C15" s="7">
        <v>0.28050000000000008</v>
      </c>
      <c r="D15" s="7">
        <v>9.8175000000000012E-2</v>
      </c>
      <c r="E15" s="7">
        <v>1.0799250000000002</v>
      </c>
      <c r="I15" s="5">
        <v>0.25</v>
      </c>
      <c r="J15" s="7">
        <v>0.32397750000000003</v>
      </c>
      <c r="K15" s="12">
        <v>27.67334843066299</v>
      </c>
      <c r="L15" s="12">
        <v>8.0706648250205131</v>
      </c>
      <c r="M15" s="12">
        <v>2.9023002046768998</v>
      </c>
      <c r="N15" s="17">
        <v>34</v>
      </c>
    </row>
    <row r="16" spans="1:16" x14ac:dyDescent="0.25">
      <c r="A16" s="4">
        <v>0.5</v>
      </c>
      <c r="B16" s="6">
        <v>0.85250000000000026</v>
      </c>
      <c r="C16" s="6">
        <v>0.34100000000000014</v>
      </c>
      <c r="D16" s="6">
        <v>0.11935000000000004</v>
      </c>
      <c r="E16" s="6">
        <v>1.3128500000000005</v>
      </c>
      <c r="I16" s="4">
        <v>0.5</v>
      </c>
      <c r="J16" s="6">
        <v>0.39385500000000012</v>
      </c>
      <c r="K16" s="11">
        <v>32.554815533191139</v>
      </c>
      <c r="L16" s="11">
        <v>9.7241316564357412</v>
      </c>
      <c r="M16" s="11">
        <v>3.5171583318232003</v>
      </c>
      <c r="N16" s="16">
        <v>28</v>
      </c>
    </row>
    <row r="17" spans="1:14" x14ac:dyDescent="0.25">
      <c r="A17" s="4">
        <v>0.75</v>
      </c>
      <c r="B17" s="6">
        <v>1.0037500000000001</v>
      </c>
      <c r="C17" s="6">
        <v>0.40150000000000008</v>
      </c>
      <c r="D17" s="6">
        <v>0.14052500000000001</v>
      </c>
      <c r="E17" s="6">
        <v>1.5457750000000001</v>
      </c>
      <c r="I17" s="4">
        <v>0.75</v>
      </c>
      <c r="J17" s="6">
        <v>0.46373249999999999</v>
      </c>
      <c r="K17" s="11">
        <v>37.106822878409453</v>
      </c>
      <c r="L17" s="11">
        <v>11.347858769213959</v>
      </c>
      <c r="M17" s="11">
        <v>4.1281229525598206</v>
      </c>
      <c r="N17" s="16">
        <v>24</v>
      </c>
    </row>
    <row r="18" spans="1:14" x14ac:dyDescent="0.25">
      <c r="A18" s="4">
        <v>1</v>
      </c>
      <c r="B18" s="6">
        <v>1.1550000000000002</v>
      </c>
      <c r="C18" s="6">
        <v>0.46200000000000013</v>
      </c>
      <c r="D18" s="6">
        <v>0.16170000000000004</v>
      </c>
      <c r="E18" s="6">
        <v>1.7787000000000002</v>
      </c>
      <c r="I18" s="4">
        <v>1</v>
      </c>
      <c r="J18" s="6">
        <v>0.53361000000000014</v>
      </c>
      <c r="K18" s="11">
        <v>41.351606349384873</v>
      </c>
      <c r="L18" s="11">
        <v>12.942381070283949</v>
      </c>
      <c r="M18" s="11">
        <v>4.7352187219925401</v>
      </c>
      <c r="N18" s="16">
        <v>21</v>
      </c>
    </row>
    <row r="20" spans="1:14" x14ac:dyDescent="0.25">
      <c r="A20" s="15" t="s">
        <v>53</v>
      </c>
      <c r="I20" s="1" t="s">
        <v>54</v>
      </c>
    </row>
    <row r="21" spans="1:14" x14ac:dyDescent="0.25">
      <c r="A21" s="3" t="s">
        <v>9</v>
      </c>
      <c r="B21" s="3" t="s">
        <v>5</v>
      </c>
      <c r="C21" s="3" t="s">
        <v>6</v>
      </c>
      <c r="D21" s="3" t="s">
        <v>7</v>
      </c>
      <c r="E21" s="3" t="s">
        <v>8</v>
      </c>
      <c r="I21" s="10" t="s">
        <v>9</v>
      </c>
      <c r="J21" s="10" t="s">
        <v>5</v>
      </c>
      <c r="K21" s="10" t="s">
        <v>6</v>
      </c>
      <c r="L21" s="10" t="s">
        <v>7</v>
      </c>
    </row>
    <row r="22" spans="1:14" x14ac:dyDescent="0.25">
      <c r="A22" s="4">
        <v>0</v>
      </c>
      <c r="B22" s="6">
        <v>5.5000000000000009</v>
      </c>
      <c r="C22" s="6">
        <v>2.2000000000000006</v>
      </c>
      <c r="D22" s="6">
        <v>0.77000000000000024</v>
      </c>
      <c r="E22" s="6">
        <v>8.4700000000000006</v>
      </c>
      <c r="I22" s="4">
        <v>0</v>
      </c>
      <c r="J22" s="6">
        <v>0.16500000000000004</v>
      </c>
      <c r="K22" s="6">
        <v>6.6000000000000017E-2</v>
      </c>
      <c r="L22" s="6">
        <v>2.3100000000000006E-2</v>
      </c>
    </row>
    <row r="23" spans="1:14" x14ac:dyDescent="0.25">
      <c r="A23" s="5">
        <v>0.25</v>
      </c>
      <c r="B23" s="7">
        <v>7.0125000000000011</v>
      </c>
      <c r="C23" s="7">
        <v>2.8050000000000006</v>
      </c>
      <c r="D23" s="7">
        <v>0.98175000000000012</v>
      </c>
      <c r="E23" s="7">
        <v>10.799250000000002</v>
      </c>
      <c r="I23" s="4">
        <v>0.25</v>
      </c>
      <c r="J23" s="6">
        <v>0.21037500000000003</v>
      </c>
      <c r="K23" s="6">
        <v>8.4150000000000016E-2</v>
      </c>
      <c r="L23" s="6">
        <v>2.9452500000000006E-2</v>
      </c>
    </row>
    <row r="24" spans="1:14" x14ac:dyDescent="0.25">
      <c r="A24" s="4">
        <v>0.5</v>
      </c>
      <c r="B24" s="6">
        <v>8.5250000000000021</v>
      </c>
      <c r="C24" s="6">
        <v>3.410000000000001</v>
      </c>
      <c r="D24" s="6">
        <v>1.1935000000000004</v>
      </c>
      <c r="E24" s="6">
        <v>13.128500000000004</v>
      </c>
      <c r="I24" s="4">
        <v>0.5</v>
      </c>
      <c r="J24" s="6">
        <v>0.25575000000000003</v>
      </c>
      <c r="K24" s="6">
        <v>0.10230000000000003</v>
      </c>
      <c r="L24" s="6">
        <v>3.5805000000000017E-2</v>
      </c>
    </row>
    <row r="25" spans="1:14" x14ac:dyDescent="0.25">
      <c r="A25" s="4">
        <v>0.75</v>
      </c>
      <c r="B25" s="6">
        <v>10.037500000000001</v>
      </c>
      <c r="C25" s="6">
        <v>4.0150000000000006</v>
      </c>
      <c r="D25" s="6">
        <v>1.4052500000000003</v>
      </c>
      <c r="E25" s="6">
        <v>15.457750000000001</v>
      </c>
      <c r="I25" s="4">
        <v>0.75</v>
      </c>
      <c r="J25" s="6">
        <v>0.30112500000000003</v>
      </c>
      <c r="K25" s="6">
        <v>0.12045000000000002</v>
      </c>
      <c r="L25" s="6">
        <v>4.2157500000000007E-2</v>
      </c>
    </row>
    <row r="26" spans="1:14" x14ac:dyDescent="0.25">
      <c r="A26" s="4">
        <v>1</v>
      </c>
      <c r="B26" s="6">
        <v>11.550000000000002</v>
      </c>
      <c r="C26" s="6">
        <v>4.620000000000001</v>
      </c>
      <c r="D26" s="6">
        <v>1.6170000000000004</v>
      </c>
      <c r="E26" s="6">
        <v>17.787000000000003</v>
      </c>
      <c r="I26" s="4">
        <v>1</v>
      </c>
      <c r="J26" s="6">
        <v>0.34650000000000003</v>
      </c>
      <c r="K26" s="6">
        <v>0.13860000000000003</v>
      </c>
      <c r="L26" s="6">
        <v>4.8510000000000011E-2</v>
      </c>
    </row>
  </sheetData>
  <mergeCells count="2">
    <mergeCell ref="A1:P1"/>
    <mergeCell ref="A2:P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26"/>
  <sheetViews>
    <sheetView workbookViewId="0"/>
  </sheetViews>
  <sheetFormatPr defaultRowHeight="15" x14ac:dyDescent="0.25"/>
  <cols>
    <col min="1" max="1" width="19.42578125" customWidth="1"/>
    <col min="2" max="5" width="9.140625" customWidth="1"/>
    <col min="9" max="9" width="54" customWidth="1"/>
    <col min="10" max="10" width="13.85546875" customWidth="1"/>
    <col min="11" max="11" width="10.42578125" customWidth="1"/>
    <col min="12" max="12" width="11.5703125" customWidth="1"/>
    <col min="13" max="13" width="12" customWidth="1"/>
    <col min="14" max="14" width="13.140625" customWidth="1"/>
  </cols>
  <sheetData>
    <row r="1" spans="1:16" ht="18.75" x14ac:dyDescent="0.3">
      <c r="A1" s="28" t="s">
        <v>57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</row>
    <row r="2" spans="1:16" x14ac:dyDescent="0.25">
      <c r="A2" s="30" t="s">
        <v>58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</row>
    <row r="4" spans="1:16" x14ac:dyDescent="0.25">
      <c r="A4" s="18" t="s">
        <v>48</v>
      </c>
      <c r="I4" s="1" t="s">
        <v>49</v>
      </c>
    </row>
    <row r="5" spans="1:16" x14ac:dyDescent="0.25">
      <c r="A5" s="3" t="s">
        <v>9</v>
      </c>
      <c r="B5" s="3" t="s">
        <v>5</v>
      </c>
      <c r="C5" s="3" t="s">
        <v>6</v>
      </c>
      <c r="D5" s="3" t="s">
        <v>7</v>
      </c>
      <c r="E5" s="3" t="s">
        <v>8</v>
      </c>
      <c r="I5" s="3" t="s">
        <v>9</v>
      </c>
      <c r="J5" s="3" t="s">
        <v>50</v>
      </c>
    </row>
    <row r="6" spans="1:16" x14ac:dyDescent="0.25">
      <c r="A6" s="4">
        <v>0</v>
      </c>
      <c r="B6" s="6">
        <v>0.125</v>
      </c>
      <c r="C6" s="6">
        <v>0.05</v>
      </c>
      <c r="D6" s="6">
        <v>1.7500000000000002E-2</v>
      </c>
      <c r="E6" s="6">
        <v>0.1925</v>
      </c>
      <c r="I6" s="4">
        <v>0</v>
      </c>
      <c r="J6" s="6">
        <v>2.5647126567931902</v>
      </c>
    </row>
    <row r="7" spans="1:16" x14ac:dyDescent="0.25">
      <c r="A7" s="5">
        <v>0.25</v>
      </c>
      <c r="B7" s="7">
        <v>0.16250000000000001</v>
      </c>
      <c r="C7" s="7">
        <v>6.5000000000000002E-2</v>
      </c>
      <c r="D7" s="7">
        <v>2.2750000000000003E-2</v>
      </c>
      <c r="E7" s="7">
        <v>0.25025000000000003</v>
      </c>
      <c r="I7" s="4">
        <v>0.25</v>
      </c>
      <c r="J7" s="6">
        <v>2.7971357850574678</v>
      </c>
    </row>
    <row r="8" spans="1:16" x14ac:dyDescent="0.25">
      <c r="A8" s="4">
        <v>0.5</v>
      </c>
      <c r="B8" s="6">
        <v>0.2</v>
      </c>
      <c r="C8" s="6">
        <v>8.0000000000000016E-2</v>
      </c>
      <c r="D8" s="6">
        <v>2.8000000000000004E-2</v>
      </c>
      <c r="E8" s="6">
        <v>0.30800000000000005</v>
      </c>
      <c r="I8" s="4">
        <v>0.5</v>
      </c>
      <c r="J8" s="6">
        <v>2.9097843218235995</v>
      </c>
    </row>
    <row r="9" spans="1:16" x14ac:dyDescent="0.25">
      <c r="A9" s="4">
        <v>0.75</v>
      </c>
      <c r="B9" s="6">
        <v>0.23750000000000002</v>
      </c>
      <c r="C9" s="6">
        <v>9.5000000000000015E-2</v>
      </c>
      <c r="D9" s="6">
        <v>3.3250000000000009E-2</v>
      </c>
      <c r="E9" s="6">
        <v>0.36575000000000002</v>
      </c>
      <c r="I9" s="4">
        <v>0.75</v>
      </c>
      <c r="J9" s="6">
        <v>2.9612910190314468</v>
      </c>
    </row>
    <row r="10" spans="1:16" x14ac:dyDescent="0.25">
      <c r="A10" s="4">
        <v>1</v>
      </c>
      <c r="B10" s="6">
        <v>0.27500000000000002</v>
      </c>
      <c r="C10" s="6">
        <v>0.11000000000000001</v>
      </c>
      <c r="D10" s="6">
        <v>3.8500000000000006E-2</v>
      </c>
      <c r="E10" s="6">
        <v>0.42349999999999999</v>
      </c>
      <c r="I10" s="4">
        <v>1</v>
      </c>
      <c r="J10" s="6">
        <v>2.9838517610393818</v>
      </c>
    </row>
    <row r="12" spans="1:16" x14ac:dyDescent="0.25">
      <c r="A12" s="18" t="s">
        <v>51</v>
      </c>
      <c r="I12" s="1" t="s">
        <v>52</v>
      </c>
    </row>
    <row r="13" spans="1:16" x14ac:dyDescent="0.25">
      <c r="A13" s="3" t="s">
        <v>9</v>
      </c>
      <c r="B13" s="3" t="s">
        <v>5</v>
      </c>
      <c r="C13" s="3" t="s">
        <v>6</v>
      </c>
      <c r="D13" s="3" t="s">
        <v>7</v>
      </c>
      <c r="E13" s="3" t="s">
        <v>8</v>
      </c>
      <c r="I13" s="10" t="s">
        <v>9</v>
      </c>
      <c r="J13" s="10" t="s">
        <v>10</v>
      </c>
      <c r="K13" s="10" t="s">
        <v>11</v>
      </c>
      <c r="L13" s="10" t="s">
        <v>12</v>
      </c>
      <c r="M13" s="10" t="s">
        <v>13</v>
      </c>
      <c r="N13" s="10" t="s">
        <v>14</v>
      </c>
    </row>
    <row r="14" spans="1:16" x14ac:dyDescent="0.25">
      <c r="A14" s="4">
        <v>0</v>
      </c>
      <c r="B14" s="6">
        <v>1.25</v>
      </c>
      <c r="C14" s="6">
        <v>0.5</v>
      </c>
      <c r="D14" s="6">
        <v>0.17500000000000002</v>
      </c>
      <c r="E14" s="6">
        <v>1.925</v>
      </c>
      <c r="I14" s="4">
        <v>0</v>
      </c>
      <c r="J14" s="6">
        <v>0.57750000000000001</v>
      </c>
      <c r="K14" s="11">
        <v>43.870013637680849</v>
      </c>
      <c r="L14" s="11">
        <v>13.929202357494219</v>
      </c>
      <c r="M14" s="11">
        <v>5.1145678944198742</v>
      </c>
      <c r="N14" s="16">
        <v>19</v>
      </c>
    </row>
    <row r="15" spans="1:16" x14ac:dyDescent="0.25">
      <c r="A15" s="5">
        <v>0.25</v>
      </c>
      <c r="B15" s="7">
        <v>1.625</v>
      </c>
      <c r="C15" s="7">
        <v>0.65</v>
      </c>
      <c r="D15" s="7">
        <v>0.22750000000000004</v>
      </c>
      <c r="E15" s="7">
        <v>2.5025000000000004</v>
      </c>
      <c r="I15" s="5">
        <v>0.25</v>
      </c>
      <c r="J15" s="7">
        <v>0.75075000000000003</v>
      </c>
      <c r="K15" s="12">
        <v>52.79875893536552</v>
      </c>
      <c r="L15" s="12">
        <v>17.716534194398157</v>
      </c>
      <c r="M15" s="12">
        <v>6.5973062347973732</v>
      </c>
      <c r="N15" s="17">
        <v>15</v>
      </c>
    </row>
    <row r="16" spans="1:16" x14ac:dyDescent="0.25">
      <c r="A16" s="4">
        <v>0.5</v>
      </c>
      <c r="B16" s="6">
        <v>2</v>
      </c>
      <c r="C16" s="6">
        <v>0.80000000000000016</v>
      </c>
      <c r="D16" s="6">
        <v>0.28000000000000003</v>
      </c>
      <c r="E16" s="6">
        <v>3.0800000000000005</v>
      </c>
      <c r="I16" s="4">
        <v>0.5</v>
      </c>
      <c r="J16" s="6">
        <v>0.92400000000000015</v>
      </c>
      <c r="K16" s="11">
        <v>60.307185117411755</v>
      </c>
      <c r="L16" s="11">
        <v>21.337213893344664</v>
      </c>
      <c r="M16" s="11">
        <v>8.0568743904875344</v>
      </c>
      <c r="N16" s="16">
        <v>12</v>
      </c>
    </row>
    <row r="17" spans="1:14" x14ac:dyDescent="0.25">
      <c r="A17" s="4">
        <v>0.75</v>
      </c>
      <c r="B17" s="6">
        <v>2.375</v>
      </c>
      <c r="C17" s="6">
        <v>0.95000000000000018</v>
      </c>
      <c r="D17" s="6">
        <v>0.33250000000000007</v>
      </c>
      <c r="E17" s="6">
        <v>3.6575000000000002</v>
      </c>
      <c r="I17" s="4">
        <v>0.75</v>
      </c>
      <c r="J17" s="6">
        <v>1.0972500000000001</v>
      </c>
      <c r="K17" s="11">
        <v>66.62122609983922</v>
      </c>
      <c r="L17" s="11">
        <v>24.798574568061738</v>
      </c>
      <c r="M17" s="11">
        <v>9.4936344331005618</v>
      </c>
      <c r="N17" s="16">
        <v>10</v>
      </c>
    </row>
    <row r="18" spans="1:14" x14ac:dyDescent="0.25">
      <c r="A18" s="4">
        <v>1</v>
      </c>
      <c r="B18" s="6">
        <v>2.75</v>
      </c>
      <c r="C18" s="6">
        <v>1.1000000000000001</v>
      </c>
      <c r="D18" s="6">
        <v>0.38500000000000006</v>
      </c>
      <c r="E18" s="6">
        <v>4.2349999999999994</v>
      </c>
      <c r="I18" s="4">
        <v>1</v>
      </c>
      <c r="J18" s="6">
        <v>1.2705</v>
      </c>
      <c r="K18" s="11">
        <v>71.930875893440657</v>
      </c>
      <c r="L18" s="11">
        <v>28.107626656807383</v>
      </c>
      <c r="M18" s="11">
        <v>10.90794277629219</v>
      </c>
      <c r="N18" s="16">
        <v>9</v>
      </c>
    </row>
    <row r="20" spans="1:14" x14ac:dyDescent="0.25">
      <c r="A20" s="18" t="s">
        <v>53</v>
      </c>
      <c r="I20" s="1" t="s">
        <v>54</v>
      </c>
    </row>
    <row r="21" spans="1:14" x14ac:dyDescent="0.25">
      <c r="A21" s="3" t="s">
        <v>9</v>
      </c>
      <c r="B21" s="3" t="s">
        <v>5</v>
      </c>
      <c r="C21" s="3" t="s">
        <v>6</v>
      </c>
      <c r="D21" s="3" t="s">
        <v>7</v>
      </c>
      <c r="E21" s="3" t="s">
        <v>8</v>
      </c>
      <c r="I21" s="10" t="s">
        <v>9</v>
      </c>
      <c r="J21" s="10" t="s">
        <v>5</v>
      </c>
      <c r="K21" s="10" t="s">
        <v>6</v>
      </c>
      <c r="L21" s="10" t="s">
        <v>7</v>
      </c>
    </row>
    <row r="22" spans="1:14" x14ac:dyDescent="0.25">
      <c r="A22" s="4">
        <v>0</v>
      </c>
      <c r="B22" s="6">
        <v>12.5</v>
      </c>
      <c r="C22" s="6">
        <v>5</v>
      </c>
      <c r="D22" s="6">
        <v>1.7500000000000002</v>
      </c>
      <c r="E22" s="6">
        <v>19.25</v>
      </c>
      <c r="I22" s="4">
        <v>0</v>
      </c>
      <c r="J22" s="6">
        <v>0.375</v>
      </c>
      <c r="K22" s="6">
        <v>0.15000000000000002</v>
      </c>
      <c r="L22" s="6">
        <v>5.2500000000000005E-2</v>
      </c>
    </row>
    <row r="23" spans="1:14" x14ac:dyDescent="0.25">
      <c r="A23" s="5">
        <v>0.25</v>
      </c>
      <c r="B23" s="7">
        <v>16.25</v>
      </c>
      <c r="C23" s="7">
        <v>6.5</v>
      </c>
      <c r="D23" s="7">
        <v>2.2750000000000004</v>
      </c>
      <c r="E23" s="7">
        <v>25.025000000000002</v>
      </c>
      <c r="I23" s="4">
        <v>0.25</v>
      </c>
      <c r="J23" s="6">
        <v>0.48750000000000004</v>
      </c>
      <c r="K23" s="6">
        <v>0.19500000000000001</v>
      </c>
      <c r="L23" s="6">
        <v>6.8250000000000005E-2</v>
      </c>
    </row>
    <row r="24" spans="1:14" x14ac:dyDescent="0.25">
      <c r="A24" s="4">
        <v>0.5</v>
      </c>
      <c r="B24" s="6">
        <v>20</v>
      </c>
      <c r="C24" s="6">
        <v>8.0000000000000018</v>
      </c>
      <c r="D24" s="6">
        <v>2.8000000000000003</v>
      </c>
      <c r="E24" s="6">
        <v>30.800000000000004</v>
      </c>
      <c r="I24" s="4">
        <v>0.5</v>
      </c>
      <c r="J24" s="6">
        <v>0.60000000000000009</v>
      </c>
      <c r="K24" s="6">
        <v>0.24000000000000005</v>
      </c>
      <c r="L24" s="6">
        <v>8.4000000000000019E-2</v>
      </c>
    </row>
    <row r="25" spans="1:14" x14ac:dyDescent="0.25">
      <c r="A25" s="4">
        <v>0.75</v>
      </c>
      <c r="B25" s="6">
        <v>23.75</v>
      </c>
      <c r="C25" s="6">
        <v>9.5000000000000018</v>
      </c>
      <c r="D25" s="6">
        <v>3.3250000000000011</v>
      </c>
      <c r="E25" s="6">
        <v>36.575000000000003</v>
      </c>
      <c r="I25" s="4">
        <v>0.75</v>
      </c>
      <c r="J25" s="6">
        <v>0.71250000000000002</v>
      </c>
      <c r="K25" s="6">
        <v>0.28500000000000003</v>
      </c>
      <c r="L25" s="6">
        <v>9.9750000000000033E-2</v>
      </c>
    </row>
    <row r="26" spans="1:14" x14ac:dyDescent="0.25">
      <c r="A26" s="4">
        <v>1</v>
      </c>
      <c r="B26" s="6">
        <v>27.500000000000004</v>
      </c>
      <c r="C26" s="6">
        <v>11.000000000000002</v>
      </c>
      <c r="D26" s="6">
        <v>3.8500000000000005</v>
      </c>
      <c r="E26" s="6">
        <v>42.35</v>
      </c>
      <c r="I26" s="4">
        <v>1</v>
      </c>
      <c r="J26" s="6">
        <v>0.82500000000000007</v>
      </c>
      <c r="K26" s="6">
        <v>0.33000000000000007</v>
      </c>
      <c r="L26" s="6">
        <v>0.11550000000000002</v>
      </c>
    </row>
  </sheetData>
  <mergeCells count="2">
    <mergeCell ref="A1:P1"/>
    <mergeCell ref="A2:P2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26"/>
  <sheetViews>
    <sheetView workbookViewId="0"/>
  </sheetViews>
  <sheetFormatPr defaultRowHeight="15" x14ac:dyDescent="0.25"/>
  <cols>
    <col min="1" max="1" width="19.42578125" customWidth="1"/>
    <col min="2" max="5" width="9.140625" customWidth="1"/>
    <col min="9" max="9" width="54" customWidth="1"/>
    <col min="10" max="10" width="13.85546875" customWidth="1"/>
    <col min="11" max="11" width="10.42578125" customWidth="1"/>
    <col min="12" max="12" width="11.5703125" customWidth="1"/>
    <col min="13" max="13" width="12" customWidth="1"/>
    <col min="14" max="14" width="13.140625" customWidth="1"/>
  </cols>
  <sheetData>
    <row r="1" spans="1:16" ht="18.75" x14ac:dyDescent="0.3">
      <c r="A1" s="28" t="s">
        <v>59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</row>
    <row r="2" spans="1:16" x14ac:dyDescent="0.25">
      <c r="A2" s="30" t="s">
        <v>60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</row>
    <row r="4" spans="1:16" x14ac:dyDescent="0.25">
      <c r="A4" s="19" t="s">
        <v>48</v>
      </c>
      <c r="I4" s="1" t="s">
        <v>49</v>
      </c>
    </row>
    <row r="5" spans="1:16" x14ac:dyDescent="0.25">
      <c r="A5" s="3" t="s">
        <v>9</v>
      </c>
      <c r="B5" s="3" t="s">
        <v>5</v>
      </c>
      <c r="C5" s="3" t="s">
        <v>6</v>
      </c>
      <c r="D5" s="3" t="s">
        <v>7</v>
      </c>
      <c r="E5" s="3" t="s">
        <v>8</v>
      </c>
      <c r="I5" s="3" t="s">
        <v>9</v>
      </c>
      <c r="J5" s="3" t="s">
        <v>50</v>
      </c>
    </row>
    <row r="6" spans="1:16" x14ac:dyDescent="0.25">
      <c r="A6" s="4">
        <v>0</v>
      </c>
      <c r="B6" s="6">
        <v>0.20499999999999999</v>
      </c>
      <c r="C6" s="6">
        <v>8.2000000000000003E-2</v>
      </c>
      <c r="D6" s="6">
        <v>2.87E-2</v>
      </c>
      <c r="E6" s="6">
        <v>0.31569999999999998</v>
      </c>
      <c r="I6" s="4">
        <v>0</v>
      </c>
      <c r="J6" s="6">
        <v>4.4868126947019373</v>
      </c>
    </row>
    <row r="7" spans="1:16" x14ac:dyDescent="0.25">
      <c r="A7" s="5">
        <v>0.25</v>
      </c>
      <c r="B7" s="7">
        <v>0.27162499999999995</v>
      </c>
      <c r="C7" s="7">
        <v>0.10864999999999998</v>
      </c>
      <c r="D7" s="7">
        <v>3.8027499999999999E-2</v>
      </c>
      <c r="E7" s="7">
        <v>0.41830249999999991</v>
      </c>
      <c r="I7" s="4">
        <v>0.25</v>
      </c>
      <c r="J7" s="6">
        <v>4.8381412414497662</v>
      </c>
    </row>
    <row r="8" spans="1:16" x14ac:dyDescent="0.25">
      <c r="A8" s="4">
        <v>0.5</v>
      </c>
      <c r="B8" s="6">
        <v>0.33824999999999994</v>
      </c>
      <c r="C8" s="6">
        <v>0.13529999999999998</v>
      </c>
      <c r="D8" s="6">
        <v>4.7354999999999994E-2</v>
      </c>
      <c r="E8" s="6">
        <v>0.52090499999999995</v>
      </c>
      <c r="I8" s="4">
        <v>0.5</v>
      </c>
      <c r="J8" s="6">
        <v>4.9549507494239071</v>
      </c>
    </row>
    <row r="9" spans="1:16" x14ac:dyDescent="0.25">
      <c r="A9" s="4">
        <v>0.75</v>
      </c>
      <c r="B9" s="6">
        <v>0.40487499999999993</v>
      </c>
      <c r="C9" s="6">
        <v>0.16194999999999998</v>
      </c>
      <c r="D9" s="6">
        <v>5.6682499999999997E-2</v>
      </c>
      <c r="E9" s="6">
        <v>0.62350749999999988</v>
      </c>
      <c r="I9" s="4">
        <v>0.75</v>
      </c>
      <c r="J9" s="6">
        <v>4.9885803436595921</v>
      </c>
    </row>
    <row r="10" spans="1:16" x14ac:dyDescent="0.25">
      <c r="A10" s="4">
        <v>1</v>
      </c>
      <c r="B10" s="6">
        <v>0.47149999999999992</v>
      </c>
      <c r="C10" s="6">
        <v>0.18859999999999999</v>
      </c>
      <c r="D10" s="6">
        <v>6.6009999999999999E-2</v>
      </c>
      <c r="E10" s="6">
        <v>0.72610999999999992</v>
      </c>
      <c r="I10" s="4">
        <v>1</v>
      </c>
      <c r="J10" s="6">
        <v>4.9973056109665253</v>
      </c>
    </row>
    <row r="12" spans="1:16" x14ac:dyDescent="0.25">
      <c r="A12" s="19" t="s">
        <v>51</v>
      </c>
      <c r="I12" s="1" t="s">
        <v>52</v>
      </c>
    </row>
    <row r="13" spans="1:16" x14ac:dyDescent="0.25">
      <c r="A13" s="3" t="s">
        <v>9</v>
      </c>
      <c r="B13" s="3" t="s">
        <v>5</v>
      </c>
      <c r="C13" s="3" t="s">
        <v>6</v>
      </c>
      <c r="D13" s="3" t="s">
        <v>7</v>
      </c>
      <c r="E13" s="3" t="s">
        <v>8</v>
      </c>
      <c r="I13" s="10" t="s">
        <v>9</v>
      </c>
      <c r="J13" s="10" t="s">
        <v>10</v>
      </c>
      <c r="K13" s="10" t="s">
        <v>11</v>
      </c>
      <c r="L13" s="10" t="s">
        <v>12</v>
      </c>
      <c r="M13" s="10" t="s">
        <v>13</v>
      </c>
      <c r="N13" s="10" t="s">
        <v>14</v>
      </c>
    </row>
    <row r="14" spans="1:16" x14ac:dyDescent="0.25">
      <c r="A14" s="4">
        <v>0</v>
      </c>
      <c r="B14" s="6">
        <v>2.0499999999999998</v>
      </c>
      <c r="C14" s="6">
        <v>0.82000000000000006</v>
      </c>
      <c r="D14" s="6">
        <v>0.28699999999999998</v>
      </c>
      <c r="E14" s="6">
        <v>3.157</v>
      </c>
      <c r="I14" s="4">
        <v>0</v>
      </c>
      <c r="J14" s="6">
        <v>0.94709999999999994</v>
      </c>
      <c r="K14" s="11">
        <v>61.213579975829887</v>
      </c>
      <c r="L14" s="11">
        <v>21.807777507452276</v>
      </c>
      <c r="M14" s="11">
        <v>8.2497523615152843</v>
      </c>
      <c r="N14" s="16">
        <v>12</v>
      </c>
    </row>
    <row r="15" spans="1:16" x14ac:dyDescent="0.25">
      <c r="A15" s="5">
        <v>0.25</v>
      </c>
      <c r="B15" s="7">
        <v>2.7162499999999996</v>
      </c>
      <c r="C15" s="7">
        <v>1.0864999999999998</v>
      </c>
      <c r="D15" s="7">
        <v>0.38027499999999997</v>
      </c>
      <c r="E15" s="7">
        <v>4.1830249999999989</v>
      </c>
      <c r="I15" s="5">
        <v>0.25</v>
      </c>
      <c r="J15" s="7">
        <v>1.2549074999999998</v>
      </c>
      <c r="K15" s="12">
        <v>71.489778103995789</v>
      </c>
      <c r="L15" s="12">
        <v>27.815872140664112</v>
      </c>
      <c r="M15" s="12">
        <v>10.781565236257007</v>
      </c>
      <c r="N15" s="17">
        <v>9</v>
      </c>
    </row>
    <row r="16" spans="1:16" x14ac:dyDescent="0.25">
      <c r="A16" s="4">
        <v>0.5</v>
      </c>
      <c r="B16" s="6">
        <v>3.3824999999999994</v>
      </c>
      <c r="C16" s="6">
        <v>1.3529999999999998</v>
      </c>
      <c r="D16" s="6">
        <v>0.47354999999999992</v>
      </c>
      <c r="E16" s="6">
        <v>5.2090499999999995</v>
      </c>
      <c r="I16" s="4">
        <v>0.5</v>
      </c>
      <c r="J16" s="6">
        <v>1.5627149999999999</v>
      </c>
      <c r="K16" s="11">
        <v>79.04336744528436</v>
      </c>
      <c r="L16" s="11">
        <v>33.362319822670926</v>
      </c>
      <c r="M16" s="11">
        <v>13.24351370629474</v>
      </c>
      <c r="N16" s="16">
        <v>7</v>
      </c>
    </row>
    <row r="17" spans="1:14" x14ac:dyDescent="0.25">
      <c r="A17" s="4">
        <v>0.75</v>
      </c>
      <c r="B17" s="6">
        <v>4.0487499999999992</v>
      </c>
      <c r="C17" s="6">
        <v>1.6194999999999999</v>
      </c>
      <c r="D17" s="6">
        <v>0.56682499999999991</v>
      </c>
      <c r="E17" s="6">
        <v>6.2350749999999984</v>
      </c>
      <c r="I17" s="4">
        <v>0.75</v>
      </c>
      <c r="J17" s="6">
        <v>1.8705224999999996</v>
      </c>
      <c r="K17" s="11">
        <v>84.59568467634692</v>
      </c>
      <c r="L17" s="11">
        <v>38.482592349535793</v>
      </c>
      <c r="M17" s="11">
        <v>15.637525653066032</v>
      </c>
      <c r="N17" s="16">
        <v>6</v>
      </c>
    </row>
    <row r="18" spans="1:14" x14ac:dyDescent="0.25">
      <c r="A18" s="4">
        <v>1</v>
      </c>
      <c r="B18" s="6">
        <v>4.714999999999999</v>
      </c>
      <c r="C18" s="6">
        <v>1.8859999999999999</v>
      </c>
      <c r="D18" s="6">
        <v>0.66010000000000002</v>
      </c>
      <c r="E18" s="6">
        <v>7.261099999999999</v>
      </c>
      <c r="I18" s="4">
        <v>1</v>
      </c>
      <c r="J18" s="6">
        <v>2.1783299999999999</v>
      </c>
      <c r="K18" s="11">
        <v>88.67695322848337</v>
      </c>
      <c r="L18" s="11">
        <v>43.209435953310894</v>
      </c>
      <c r="M18" s="11">
        <v>17.965475758860038</v>
      </c>
      <c r="N18" s="16">
        <v>5</v>
      </c>
    </row>
    <row r="20" spans="1:14" x14ac:dyDescent="0.25">
      <c r="A20" s="19" t="s">
        <v>53</v>
      </c>
      <c r="I20" s="1" t="s">
        <v>54</v>
      </c>
    </row>
    <row r="21" spans="1:14" x14ac:dyDescent="0.25">
      <c r="A21" s="3" t="s">
        <v>9</v>
      </c>
      <c r="B21" s="3" t="s">
        <v>5</v>
      </c>
      <c r="C21" s="3" t="s">
        <v>6</v>
      </c>
      <c r="D21" s="3" t="s">
        <v>7</v>
      </c>
      <c r="E21" s="3" t="s">
        <v>8</v>
      </c>
      <c r="I21" s="10" t="s">
        <v>9</v>
      </c>
      <c r="J21" s="10" t="s">
        <v>5</v>
      </c>
      <c r="K21" s="10" t="s">
        <v>6</v>
      </c>
      <c r="L21" s="10" t="s">
        <v>7</v>
      </c>
    </row>
    <row r="22" spans="1:14" x14ac:dyDescent="0.25">
      <c r="A22" s="4">
        <v>0</v>
      </c>
      <c r="B22" s="6">
        <v>20.5</v>
      </c>
      <c r="C22" s="6">
        <v>8.2000000000000011</v>
      </c>
      <c r="D22" s="6">
        <v>2.87</v>
      </c>
      <c r="E22" s="6">
        <v>31.569999999999997</v>
      </c>
      <c r="I22" s="4">
        <v>0</v>
      </c>
      <c r="J22" s="6">
        <v>0.61499999999999999</v>
      </c>
      <c r="K22" s="6">
        <v>0.246</v>
      </c>
      <c r="L22" s="6">
        <v>8.6099999999999996E-2</v>
      </c>
    </row>
    <row r="23" spans="1:14" x14ac:dyDescent="0.25">
      <c r="A23" s="5">
        <v>0.25</v>
      </c>
      <c r="B23" s="7">
        <v>27.162499999999994</v>
      </c>
      <c r="C23" s="7">
        <v>10.864999999999998</v>
      </c>
      <c r="D23" s="7">
        <v>3.8027500000000001</v>
      </c>
      <c r="E23" s="7">
        <v>41.830249999999992</v>
      </c>
      <c r="I23" s="4">
        <v>0.25</v>
      </c>
      <c r="J23" s="6">
        <v>0.81487499999999979</v>
      </c>
      <c r="K23" s="6">
        <v>0.32594999999999996</v>
      </c>
      <c r="L23" s="6">
        <v>0.1140825</v>
      </c>
    </row>
    <row r="24" spans="1:14" x14ac:dyDescent="0.25">
      <c r="A24" s="4">
        <v>0.5</v>
      </c>
      <c r="B24" s="6">
        <v>33.824999999999996</v>
      </c>
      <c r="C24" s="6">
        <v>13.529999999999998</v>
      </c>
      <c r="D24" s="6">
        <v>4.7354999999999992</v>
      </c>
      <c r="E24" s="6">
        <v>52.090499999999992</v>
      </c>
      <c r="I24" s="4">
        <v>0.5</v>
      </c>
      <c r="J24" s="6">
        <v>1.0147499999999998</v>
      </c>
      <c r="K24" s="6">
        <v>0.40589999999999993</v>
      </c>
      <c r="L24" s="6">
        <v>0.142065</v>
      </c>
    </row>
    <row r="25" spans="1:14" x14ac:dyDescent="0.25">
      <c r="A25" s="4">
        <v>0.75</v>
      </c>
      <c r="B25" s="6">
        <v>40.48749999999999</v>
      </c>
      <c r="C25" s="6">
        <v>16.194999999999997</v>
      </c>
      <c r="D25" s="6">
        <v>5.6682499999999996</v>
      </c>
      <c r="E25" s="6">
        <v>62.350749999999991</v>
      </c>
      <c r="I25" s="4">
        <v>0.75</v>
      </c>
      <c r="J25" s="6">
        <v>1.2146249999999998</v>
      </c>
      <c r="K25" s="6">
        <v>0.48584999999999995</v>
      </c>
      <c r="L25" s="6">
        <v>0.17004749999999999</v>
      </c>
    </row>
    <row r="26" spans="1:14" x14ac:dyDescent="0.25">
      <c r="A26" s="4">
        <v>1</v>
      </c>
      <c r="B26" s="6">
        <v>47.149999999999991</v>
      </c>
      <c r="C26" s="6">
        <v>18.86</v>
      </c>
      <c r="D26" s="6">
        <v>6.601</v>
      </c>
      <c r="E26" s="6">
        <v>72.61099999999999</v>
      </c>
      <c r="I26" s="4">
        <v>1</v>
      </c>
      <c r="J26" s="6">
        <v>1.4144999999999999</v>
      </c>
      <c r="K26" s="6">
        <v>0.56579999999999997</v>
      </c>
      <c r="L26" s="6">
        <v>0.19802999999999998</v>
      </c>
    </row>
  </sheetData>
  <mergeCells count="2">
    <mergeCell ref="A1:P1"/>
    <mergeCell ref="A2:P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3"/>
  <sheetViews>
    <sheetView workbookViewId="0"/>
  </sheetViews>
  <sheetFormatPr defaultRowHeight="15" x14ac:dyDescent="0.25"/>
  <sheetData>
    <row r="1" spans="1:10" ht="18.75" x14ac:dyDescent="0.3">
      <c r="A1" s="28" t="s">
        <v>61</v>
      </c>
      <c r="B1" s="29"/>
      <c r="C1" s="29"/>
      <c r="D1" s="29"/>
      <c r="E1" s="29"/>
      <c r="F1" s="29"/>
      <c r="G1" s="29"/>
      <c r="H1" s="29"/>
      <c r="I1" s="29"/>
      <c r="J1" s="29"/>
    </row>
    <row r="47" spans="1:5" x14ac:dyDescent="0.25">
      <c r="A47" s="1" t="s">
        <v>62</v>
      </c>
    </row>
    <row r="48" spans="1:5" x14ac:dyDescent="0.25">
      <c r="A48" s="10" t="s">
        <v>9</v>
      </c>
      <c r="B48" s="10" t="s">
        <v>15</v>
      </c>
      <c r="C48" s="10" t="s">
        <v>18</v>
      </c>
      <c r="D48" s="10" t="s">
        <v>20</v>
      </c>
      <c r="E48" s="10" t="s">
        <v>22</v>
      </c>
    </row>
    <row r="49" spans="1:5" x14ac:dyDescent="0.25">
      <c r="A49" s="4">
        <v>0</v>
      </c>
      <c r="B49" s="6">
        <v>0.15750000000000003</v>
      </c>
      <c r="C49" s="6">
        <v>0.25410000000000005</v>
      </c>
      <c r="D49" s="6">
        <v>0.57750000000000001</v>
      </c>
      <c r="E49" s="6">
        <v>0.94709999999999994</v>
      </c>
    </row>
    <row r="50" spans="1:5" x14ac:dyDescent="0.25">
      <c r="A50" s="4">
        <v>0.25</v>
      </c>
      <c r="B50" s="6">
        <v>0.19687500000000005</v>
      </c>
      <c r="C50" s="6">
        <v>0.32397750000000003</v>
      </c>
      <c r="D50" s="6">
        <v>0.75075000000000003</v>
      </c>
      <c r="E50" s="6">
        <v>1.2549074999999998</v>
      </c>
    </row>
    <row r="51" spans="1:5" x14ac:dyDescent="0.25">
      <c r="A51" s="4">
        <v>0.5</v>
      </c>
      <c r="B51" s="6">
        <v>0.23625000000000004</v>
      </c>
      <c r="C51" s="6">
        <v>0.39385500000000012</v>
      </c>
      <c r="D51" s="6">
        <v>0.92400000000000015</v>
      </c>
      <c r="E51" s="6">
        <v>1.5627149999999999</v>
      </c>
    </row>
    <row r="52" spans="1:5" x14ac:dyDescent="0.25">
      <c r="A52" s="4">
        <v>0.75</v>
      </c>
      <c r="B52" s="6">
        <v>0.27562500000000006</v>
      </c>
      <c r="C52" s="6">
        <v>0.46373249999999999</v>
      </c>
      <c r="D52" s="6">
        <v>1.0972500000000001</v>
      </c>
      <c r="E52" s="6">
        <v>1.8705224999999996</v>
      </c>
    </row>
    <row r="53" spans="1:5" x14ac:dyDescent="0.25">
      <c r="A53" s="4">
        <v>1</v>
      </c>
      <c r="B53" s="6">
        <v>0.31500000000000006</v>
      </c>
      <c r="C53" s="6">
        <v>0.53361000000000014</v>
      </c>
      <c r="D53" s="6">
        <v>1.2705</v>
      </c>
      <c r="E53" s="6">
        <v>2.1783299999999999</v>
      </c>
    </row>
  </sheetData>
  <mergeCells count="1">
    <mergeCell ref="A1:J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27"/>
  <sheetViews>
    <sheetView workbookViewId="0"/>
  </sheetViews>
  <sheetFormatPr defaultRowHeight="15" x14ac:dyDescent="0.25"/>
  <cols>
    <col min="1" max="1" width="74.5703125" customWidth="1"/>
    <col min="2" max="2" width="9.140625" customWidth="1"/>
    <col min="4" max="4" width="34.42578125" customWidth="1"/>
    <col min="5" max="5" width="13.5703125" customWidth="1"/>
    <col min="6" max="6" width="13.85546875" customWidth="1"/>
    <col min="7" max="7" width="16.140625" customWidth="1"/>
    <col min="8" max="8" width="11.28515625" customWidth="1"/>
    <col min="9" max="9" width="13.5703125" customWidth="1"/>
  </cols>
  <sheetData>
    <row r="1" spans="1:9" ht="18.75" x14ac:dyDescent="0.3">
      <c r="A1" s="28" t="s">
        <v>63</v>
      </c>
      <c r="B1" s="29"/>
      <c r="C1" s="29"/>
      <c r="D1" s="29"/>
      <c r="E1" s="29"/>
      <c r="F1" s="29"/>
    </row>
    <row r="2" spans="1:9" x14ac:dyDescent="0.25">
      <c r="A2" s="30" t="s">
        <v>64</v>
      </c>
      <c r="B2" s="29"/>
      <c r="C2" s="29"/>
      <c r="D2" s="29"/>
      <c r="E2" s="29"/>
      <c r="F2" s="29"/>
    </row>
    <row r="4" spans="1:9" x14ac:dyDescent="0.25">
      <c r="A4" s="1" t="s">
        <v>65</v>
      </c>
      <c r="D4" s="1" t="s">
        <v>66</v>
      </c>
    </row>
    <row r="5" spans="1:9" x14ac:dyDescent="0.25">
      <c r="A5" s="3" t="s">
        <v>67</v>
      </c>
      <c r="B5" s="3" t="s">
        <v>68</v>
      </c>
      <c r="D5" s="10" t="s">
        <v>4</v>
      </c>
      <c r="E5" s="10" t="s">
        <v>69</v>
      </c>
      <c r="F5" s="10" t="s">
        <v>70</v>
      </c>
      <c r="G5" s="10" t="s">
        <v>71</v>
      </c>
      <c r="H5" s="10" t="s">
        <v>72</v>
      </c>
      <c r="I5" s="10" t="s">
        <v>73</v>
      </c>
    </row>
    <row r="6" spans="1:9" x14ac:dyDescent="0.25">
      <c r="A6" s="13" t="s">
        <v>74</v>
      </c>
      <c r="B6" s="6">
        <v>0.05</v>
      </c>
      <c r="D6" s="20" t="s">
        <v>15</v>
      </c>
      <c r="E6" s="6">
        <v>0.75</v>
      </c>
      <c r="F6" s="6">
        <v>2</v>
      </c>
      <c r="G6" s="26">
        <v>3</v>
      </c>
      <c r="H6" s="26">
        <v>1</v>
      </c>
      <c r="I6" s="13" t="s">
        <v>17</v>
      </c>
    </row>
    <row r="7" spans="1:9" x14ac:dyDescent="0.25">
      <c r="A7" s="13" t="s">
        <v>75</v>
      </c>
      <c r="B7" s="27">
        <v>6.0000000000000001E-3</v>
      </c>
      <c r="D7" s="21" t="s">
        <v>18</v>
      </c>
      <c r="E7" s="6">
        <v>1.1000000000000001</v>
      </c>
      <c r="F7" s="6">
        <v>2.1</v>
      </c>
      <c r="G7" s="26">
        <v>5</v>
      </c>
      <c r="H7" s="26">
        <v>2</v>
      </c>
      <c r="I7" s="13" t="s">
        <v>76</v>
      </c>
    </row>
    <row r="8" spans="1:9" x14ac:dyDescent="0.25">
      <c r="A8" s="13" t="s">
        <v>77</v>
      </c>
      <c r="B8" s="6">
        <v>1</v>
      </c>
      <c r="D8" s="22" t="s">
        <v>20</v>
      </c>
      <c r="E8" s="6">
        <v>2.5</v>
      </c>
      <c r="F8" s="6">
        <v>2.2000000000000002</v>
      </c>
      <c r="G8" s="26">
        <v>8</v>
      </c>
      <c r="H8" s="26">
        <v>3</v>
      </c>
      <c r="I8" s="13" t="s">
        <v>78</v>
      </c>
    </row>
    <row r="9" spans="1:9" x14ac:dyDescent="0.25">
      <c r="A9" s="13" t="s">
        <v>79</v>
      </c>
      <c r="B9" s="6">
        <v>0.4</v>
      </c>
      <c r="D9" s="23" t="s">
        <v>22</v>
      </c>
      <c r="E9" s="6">
        <v>4.0999999999999996</v>
      </c>
      <c r="F9" s="6">
        <v>2.2999999999999998</v>
      </c>
      <c r="G9" s="26">
        <v>10</v>
      </c>
      <c r="H9" s="26">
        <v>5</v>
      </c>
      <c r="I9" s="13" t="s">
        <v>80</v>
      </c>
    </row>
    <row r="10" spans="1:9" x14ac:dyDescent="0.25">
      <c r="A10" s="13" t="s">
        <v>81</v>
      </c>
      <c r="B10" s="6">
        <v>0.14000000000000001</v>
      </c>
    </row>
    <row r="11" spans="1:9" x14ac:dyDescent="0.25">
      <c r="A11" s="13" t="s">
        <v>82</v>
      </c>
      <c r="B11" s="26">
        <v>1</v>
      </c>
    </row>
    <row r="12" spans="1:9" x14ac:dyDescent="0.25">
      <c r="A12" s="13" t="s">
        <v>83</v>
      </c>
      <c r="B12" s="26">
        <v>2</v>
      </c>
    </row>
    <row r="13" spans="1:9" x14ac:dyDescent="0.25">
      <c r="A13" s="13" t="s">
        <v>84</v>
      </c>
      <c r="B13" s="26">
        <v>4</v>
      </c>
    </row>
    <row r="14" spans="1:9" x14ac:dyDescent="0.25">
      <c r="A14" s="13" t="s">
        <v>85</v>
      </c>
      <c r="B14" s="26">
        <v>1</v>
      </c>
    </row>
    <row r="15" spans="1:9" x14ac:dyDescent="0.25">
      <c r="A15" s="1" t="s">
        <v>86</v>
      </c>
    </row>
    <row r="16" spans="1:9" x14ac:dyDescent="0.25">
      <c r="A16" s="3" t="s">
        <v>67</v>
      </c>
      <c r="B16" s="3" t="s">
        <v>68</v>
      </c>
    </row>
    <row r="17" spans="1:2" x14ac:dyDescent="0.25">
      <c r="A17" s="13" t="s">
        <v>87</v>
      </c>
      <c r="B17" s="26">
        <v>60</v>
      </c>
    </row>
    <row r="18" spans="1:2" x14ac:dyDescent="0.25">
      <c r="A18" s="13" t="s">
        <v>88</v>
      </c>
      <c r="B18" s="26">
        <v>5</v>
      </c>
    </row>
    <row r="19" spans="1:2" x14ac:dyDescent="0.25">
      <c r="A19" s="13" t="s">
        <v>89</v>
      </c>
      <c r="B19" s="13" t="s">
        <v>90</v>
      </c>
    </row>
    <row r="20" spans="1:2" x14ac:dyDescent="0.25">
      <c r="A20" s="13" t="s">
        <v>91</v>
      </c>
      <c r="B20" s="26">
        <v>50</v>
      </c>
    </row>
    <row r="21" spans="1:2" x14ac:dyDescent="0.25">
      <c r="A21" s="13" t="s">
        <v>92</v>
      </c>
      <c r="B21" s="26">
        <v>300</v>
      </c>
    </row>
    <row r="22" spans="1:2" x14ac:dyDescent="0.25">
      <c r="A22" s="1" t="s">
        <v>93</v>
      </c>
    </row>
    <row r="23" spans="1:2" x14ac:dyDescent="0.25">
      <c r="A23" s="3" t="s">
        <v>67</v>
      </c>
      <c r="B23" s="3" t="s">
        <v>68</v>
      </c>
    </row>
    <row r="24" spans="1:2" x14ac:dyDescent="0.25">
      <c r="A24" s="13" t="s">
        <v>94</v>
      </c>
      <c r="B24" s="26">
        <v>80</v>
      </c>
    </row>
    <row r="25" spans="1:2" x14ac:dyDescent="0.25">
      <c r="A25" s="13" t="s">
        <v>95</v>
      </c>
      <c r="B25" s="26">
        <v>0</v>
      </c>
    </row>
    <row r="26" spans="1:2" x14ac:dyDescent="0.25">
      <c r="A26" s="13" t="s">
        <v>96</v>
      </c>
      <c r="B26" s="6">
        <v>2</v>
      </c>
    </row>
    <row r="27" spans="1:2" x14ac:dyDescent="0.25">
      <c r="A27" s="13" t="s">
        <v>97</v>
      </c>
      <c r="B27" s="6">
        <v>0.5</v>
      </c>
    </row>
  </sheetData>
  <mergeCells count="2">
    <mergeCell ref="A1:F1"/>
    <mergeCell ref="A2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Resumen</vt:lpstr>
      <vt:lpstr>Bajo</vt:lpstr>
      <vt:lpstr>Moderado</vt:lpstr>
      <vt:lpstr>Alto</vt:lpstr>
      <vt:lpstr>7700</vt:lpstr>
      <vt:lpstr>Gráficas</vt:lpstr>
      <vt:lpstr>Configuración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Mathías González</cp:lastModifiedBy>
  <dcterms:modified xsi:type="dcterms:W3CDTF">2026-10-29T03:13:37Z</dcterms:modified>
</cp:coreProperties>
</file>