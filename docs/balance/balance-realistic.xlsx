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drawing+xml" PartName="/xl/drawings/drawing2.xml"/>
  <Override ContentType="application/vnd.openxmlformats-officedocument.drawingml.chart+xml" PartName="/xl/charts/chart1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2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3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4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sumen" sheetId="1" r:id="rId1"/>
    <sheet name="Bajo" sheetId="2" r:id="rId2"/>
    <sheet name="Moderado" sheetId="3" r:id="rId4"/>
    <sheet name="Alto" sheetId="4" r:id="rId5"/>
    <sheet name="7700" sheetId="5" r:id="rId6"/>
    <sheet name="Gráficas" sheetId="6" r:id="rId7"/>
    <sheet name="Configuración" sheetId="7" r:id="rId8"/>
  </sheets>
  <calcPr fullCalcOnLoad="1"/>
</workbook>
</file>

<file path=xl/sharedStrings.xml><?xml version="1.0" encoding="utf-8"?>
<sst xmlns="http://schemas.openxmlformats.org/spreadsheetml/2006/main" count="86" uniqueCount="86">
  <si>
    <t>Balance del modo Realistic — generado automáticamente con el motor vigente</t>
  </si>
  <si>
    <t>Fallas en vuelo por perfil y severidad; semilla de tierra (arranque de sesión) aparte. catálogo curado: 173 leves / 179 graves / 32 críticas. Estimación global por severidad (sin presets ni fases). Regenerar: docs/balance/balance.cmd</t>
  </si>
  <si>
    <t>Referencia con desgaste medio (25 %) — cada 10 horas de vuelo</t>
  </si>
  <si>
    <t>Experiencia por vuelo (3 h; desgaste 0 / 25 / 100 %)</t>
  </si>
  <si>
    <t>Perfil</t>
  </si>
  <si>
    <t>Leves</t>
  </si>
  <si>
    <t>Graves</t>
  </si>
  <si>
    <t>Críticas</t>
  </si>
  <si>
    <t>Total</t>
  </si>
  <si>
    <t>Desgaste</t>
  </si>
  <si>
    <t>E[fallas]</t>
  </si>
  <si>
    <t>P(≥1 falla)</t>
  </si>
  <si>
    <t>P(≥1 grave)</t>
  </si>
  <si>
    <t>P(≥1 crítica)</t>
  </si>
  <si>
    <t>1 crítica cada</t>
  </si>
  <si>
    <t>Bajo</t>
  </si>
  <si>
    <t>—</t>
  </si>
  <si>
    <t>Moderado</t>
  </si>
  <si>
    <t>Alto</t>
  </si>
  <si>
    <t>7700</t>
  </si>
  <si>
    <t>Estadísticas (cada 10 h, promedio entre desgastes 0–100 %)</t>
  </si>
  <si>
    <t>Graves prom.</t>
  </si>
  <si>
    <t>Graves mín.</t>
  </si>
  <si>
    <t>Graves máx.</t>
  </si>
  <si>
    <t>Críticas prom.</t>
  </si>
  <si>
    <t>1 crítica cada… (25 %)</t>
  </si>
  <si>
    <t>Ancla temporal del desgaste (vuelos de 3 h; el seed va de 0,1 a 0,6 %/h)</t>
  </si>
  <si>
    <t>Tasa del sistema</t>
  </si>
  <si>
    <t>Hasta 25 %</t>
  </si>
  <si>
    <t>Hasta 50 %</t>
  </si>
  <si>
    <t>Hasta 80 % (aviso)</t>
  </si>
  <si>
    <t>0,1 %/h</t>
  </si>
  <si>
    <t>0,3 %/h</t>
  </si>
  <si>
    <t>0,6 %/h</t>
  </si>
  <si>
    <t>Perfil Bajo (nivel 1)</t>
  </si>
  <si>
    <t>Multiplicador ×0,6 · desgaste máx ×2 · tope agravación 3 · tope tierra 1 · tregua crítica —</t>
  </si>
  <si>
    <t>Cada 1 h de vuelo</t>
  </si>
  <si>
    <t>Semilla de tierra (fallas esperadas al iniciar cada vuelo)</t>
  </si>
  <si>
    <t>Fallas al inicio</t>
  </si>
  <si>
    <t>Cada 10 h de vuelo</t>
  </si>
  <si>
    <t>Experiencia por vuelo (3 h)</t>
  </si>
  <si>
    <t>Cada 100 h de vuelo</t>
  </si>
  <si>
    <t>Datos de la gráfica: E[fallas por vuelo de 3 h] por severidad</t>
  </si>
  <si>
    <t>Perfil Moderado (nivel 2)</t>
  </si>
  <si>
    <t>Multiplicador ×1 · desgaste máx ×2 · tope agravación 5 · tope tierra 2 · tregua crítica 120 min</t>
  </si>
  <si>
    <t>Perfil Alto (nivel 3)</t>
  </si>
  <si>
    <t>Multiplicador ×1,4 · desgaste máx ×2,5 · tope agravación 8 · tope tierra 3 · tregua crítica 60 min</t>
  </si>
  <si>
    <t>Perfil 7700 (nivel 4)</t>
  </si>
  <si>
    <t>Multiplicador ×2,2 · desgaste máx ×4 · tope agravación 10 · tope tierra 5 · tregua crítica 30 min</t>
  </si>
  <si>
    <t>Tendencias del balance</t>
  </si>
  <si>
    <t>Datos: E[fallas por vuelo de 3 h] según desgaste (fuente de la gráfica de experiencia)</t>
  </si>
  <si>
    <t>Configuración del código con la que se generó este reporte</t>
  </si>
  <si>
    <t>Valores leídos del código al generar el archivo (FailureEngineSettings y perfiles del catálogo): si cambiaron parámetros, regenerar para reflejarlos aquí.</t>
  </si>
  <si>
    <t>Física del motor (Physics)</t>
  </si>
  <si>
    <t>Perfiles vigentes (defaults de código)</t>
  </si>
  <si>
    <t>Parámetro</t>
  </si>
  <si>
    <t>Valor</t>
  </si>
  <si>
    <t>Multiplicador</t>
  </si>
  <si>
    <t>Desgaste máx</t>
  </si>
  <si>
    <t>Tope agravación</t>
  </si>
  <si>
    <t>Tope tierra</t>
  </si>
  <si>
    <t>Tregua crítica</t>
  </si>
  <si>
    <t>Tasa base por falla leve elegible en vuelo, eventos/h (FailureRatePerHourBase)</t>
  </si>
  <si>
    <t>Probabilidad base por falla leve en la semilla de tierra (GroundSeedBaseProbability)</t>
  </si>
  <si>
    <t>120 min</t>
  </si>
  <si>
    <t>Multiplicador de tasa: leves (SeverityRateMultiplier.Minor)</t>
  </si>
  <si>
    <t>60 min</t>
  </si>
  <si>
    <t>Multiplicador de tasa: graves (SeverityRateMultiplier.Major)</t>
  </si>
  <si>
    <t>30 min</t>
  </si>
  <si>
    <t>Multiplicador de tasa: críticas (SeverityRateMultiplier.Critical)</t>
  </si>
  <si>
    <t>Peso de agravamiento: leves (AggravationWeights.Minor)</t>
  </si>
  <si>
    <t>Peso de agravamiento: graves (AggravationWeights.Major)</t>
  </si>
  <si>
    <t>Peso de agravamiento: críticas (AggravationWeights.Critical)</t>
  </si>
  <si>
    <t>Agravación extra por misma ATA simultánea (SameAtaAggravationExtra)</t>
  </si>
  <si>
    <t>Modo Realistic (RealisticMode)</t>
  </si>
  <si>
    <t>Intervalo de evaluación del motor, s (EvaluationIntervalSeconds)</t>
  </si>
  <si>
    <t>Límite de la cola de preparadas (PreparedQueueLimit)</t>
  </si>
  <si>
    <t>Semilla de tierra habilitada (GroundFailureEnabled)</t>
  </si>
  <si>
    <t>Sí</t>
  </si>
  <si>
    <t>Tope de líneas de thinking (ThinkingLinesCap)</t>
  </si>
  <si>
    <t>Tope de delta de evaluación, s (EvaluationDeltaCapSeconds)</t>
  </si>
  <si>
    <t>Desgaste (Wear) y ventanas OFP</t>
  </si>
  <si>
    <t>Umbral de aviso de sistema castigado, % (ThresholdNoticePct)</t>
  </si>
  <si>
    <t>Tope de sistemas con desgaste por sesión, 0 = sin tope (SessionSystemsCap)</t>
  </si>
  <si>
    <t>Ventana previa al start, h (PreStartWindowHours)</t>
  </si>
  <si>
    <t>Ventana posterior al arribo, h (PostArrivalWindowHours)</t>
  </si>
</sst>
</file>

<file path=xl/styles.xml><?xml version="1.0" encoding="utf-8"?>
<styleSheet xmlns="http://schemas.openxmlformats.org/spreadsheetml/2006/main">
  <numFmts count="5">
    <numFmt numFmtId="164" formatCode="0 %"/>
    <numFmt numFmtId="165" formatCode="0.0 &quot; %&quot;"/>
    <numFmt numFmtId="166" formatCode="0 &quot;vuelos&quot;"/>
    <numFmt numFmtId="167" formatCode="0.0 &quot;h&quot;"/>
    <numFmt numFmtId="168" formatCode="0.000"/>
  </numFmts>
  <fonts count="10">
    <font>
      <sz val="11"/>
      <name val="Calibri"/>
    </font>
    <font>
      <b/>
      <sz val="11"/>
      <name val="Calibri"/>
    </font>
    <font>
      <b/>
      <sz val="14"/>
      <name val="Calibri"/>
    </font>
    <font>
      <i/>
      <sz val="10"/>
      <color rgb="FF6B7488" tint="0"/>
      <name val="Calibri"/>
    </font>
    <font>
      <b/>
      <sz val="11"/>
      <color rgb="FF4CAF50" tint="0"/>
      <name val="Calibri"/>
    </font>
    <font>
      <b/>
      <sz val="11"/>
      <color rgb="FFE7EBF3" tint="0"/>
      <name val="Calibri"/>
    </font>
    <font>
      <sz val="11"/>
      <color rgb="FF6B7488" tint="0"/>
      <name val="Calibri"/>
    </font>
    <font>
      <b/>
      <sz val="11"/>
      <color rgb="FFF59E0B" tint="0"/>
      <name val="Calibri"/>
    </font>
    <font>
      <b/>
      <sz val="11"/>
      <color rgb="FFEF4444" tint="0"/>
      <name val="Calibri"/>
    </font>
    <font>
      <b/>
      <sz val="11"/>
      <color rgb="FF8B5CF6" tint="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32A38" tint="0"/>
      </patternFill>
    </fill>
    <fill>
      <patternFill patternType="solid">
        <fgColor rgb="FFEFF6FF" tint="0"/>
      </patternFill>
    </fill>
  </fills>
  <borders count="2">
    <border>
      <left/>
      <right/>
      <top/>
      <bottom/>
      <diagonal/>
    </border>
    <border>
      <left/>
      <right/>
      <top style="thin">
        <color rgb="FF1A2029" tint="0"/>
      </top>
      <bottom style="thin">
        <color rgb="FF1A2029" tint="0"/>
      </bottom>
      <diagonal/>
    </border>
  </borders>
  <cellStyleXfs count="1">
    <xf numFmtId="0" fontId="0"/>
  </cellStyleXfs>
  <cellXfs count="34">
    <xf numFmtId="0" applyNumberFormat="1" fontId="0" applyFont="1" xfId="0" applyProtection="1"/>
    <xf numFmtId="0" applyNumberFormat="1" fontId="1" applyFont="1" xfId="0" applyProtection="1"/>
    <xf numFmtId="0" applyNumberFormat="1" fontId="2" applyFont="1" xfId="0" applyProtection="1"/>
    <xf numFmtId="0" applyNumberFormat="1" fontId="3" applyFont="1" xfId="0" applyProtection="1"/>
    <xf numFmtId="0" applyNumberFormat="1" fontId="4" applyFont="1" xfId="0" applyProtection="1"/>
    <xf numFmtId="0" applyNumberFormat="1" fontId="5" applyFont="1" fillId="2" applyFill="1" xfId="0" applyProtection="1"/>
    <xf numFmtId="164" applyNumberFormat="1" fontId="0" applyFont="1" borderId="1" applyBorder="1" xfId="0" applyProtection="1"/>
    <xf numFmtId="164" applyNumberFormat="1" fontId="0" applyFont="1" fillId="3" applyFill="1" borderId="1" applyBorder="1" xfId="0" applyProtection="1"/>
    <xf numFmtId="2" applyNumberFormat="1" fontId="0" applyFont="1" borderId="1" applyBorder="1" xfId="0" applyProtection="1"/>
    <xf numFmtId="2" applyNumberFormat="1" fontId="0" applyFont="1" fillId="3" applyFill="1" borderId="1" applyBorder="1" xfId="0" applyProtection="1"/>
    <xf numFmtId="2" applyNumberFormat="1" fontId="6" applyFont="1" borderId="1" applyBorder="1" xfId="0" applyProtection="1"/>
    <xf numFmtId="2" applyNumberFormat="1" fontId="6" applyFont="1" fillId="3" applyFill="1" borderId="1" applyBorder="1" xfId="0" applyProtection="1"/>
    <xf numFmtId="0" applyNumberFormat="1" fontId="5" applyFont="1" fillId="2" applyFill="1" borderId="1" applyBorder="1" xfId="0" applyProtection="1"/>
    <xf numFmtId="165" applyNumberFormat="1" fontId="0" applyFont="1" borderId="1" applyBorder="1" xfId="0" applyProtection="1"/>
    <xf numFmtId="165" applyNumberFormat="1" fontId="0" applyFont="1" fillId="3" applyFill="1" borderId="1" applyBorder="1" xfId="0" applyProtection="1"/>
    <xf numFmtId="0" applyNumberFormat="1" fontId="0" applyFont="1" borderId="1" applyBorder="1" xfId="0" applyProtection="1"/>
    <xf numFmtId="0" applyNumberFormat="1" fontId="0" applyFont="1" fillId="3" applyFill="1" borderId="1" applyBorder="1" xfId="0" applyProtection="1"/>
    <xf numFmtId="0" applyNumberFormat="1" fontId="7" applyFont="1" xfId="0" applyProtection="1"/>
    <xf numFmtId="166" applyNumberFormat="1" fontId="0" applyFont="1" borderId="1" applyBorder="1" xfId="0" applyProtection="1"/>
    <xf numFmtId="166" applyNumberFormat="1" fontId="0" applyFont="1" fillId="3" applyFill="1" borderId="1" applyBorder="1" xfId="0" applyProtection="1"/>
    <xf numFmtId="0" applyNumberFormat="1" fontId="8" applyFont="1" xfId="0" applyProtection="1"/>
    <xf numFmtId="0" applyNumberFormat="1" fontId="9" applyFont="1" xfId="0" applyProtection="1"/>
    <xf numFmtId="0" applyNumberFormat="1" fontId="4" applyFont="1" borderId="1" applyBorder="1" xfId="0" applyProtection="1"/>
    <xf numFmtId="0" applyNumberFormat="1" fontId="7" applyFont="1" borderId="1" applyBorder="1" xfId="0" applyProtection="1"/>
    <xf numFmtId="0" applyNumberFormat="1" fontId="8" applyFont="1" borderId="1" applyBorder="1" xfId="0" applyProtection="1"/>
    <xf numFmtId="0" applyNumberFormat="1" fontId="9" applyFont="1" borderId="1" applyBorder="1" xfId="0" applyProtection="1"/>
    <xf numFmtId="167" applyNumberFormat="1" fontId="6" applyFont="1" borderId="1" applyBorder="1" xfId="0" applyProtection="1"/>
    <xf numFmtId="167" applyNumberFormat="1" fontId="0" applyFont="1" borderId="1" applyBorder="1" xfId="0" applyProtection="1"/>
    <xf numFmtId="0" applyNumberFormat="1" fontId="4" applyFont="1" fillId="3" applyFill="1" borderId="1" applyBorder="1" xfId="0" applyProtection="1"/>
    <xf numFmtId="0" applyNumberFormat="1" fontId="7" applyFont="1" fillId="3" applyFill="1" borderId="1" applyBorder="1" xfId="0" applyProtection="1"/>
    <xf numFmtId="0" applyNumberFormat="1" fontId="8" applyFont="1" fillId="3" applyFill="1" borderId="1" applyBorder="1" xfId="0" applyProtection="1"/>
    <xf numFmtId="0" applyNumberFormat="1" fontId="9" applyFont="1" fillId="3" applyFill="1" borderId="1" applyBorder="1" xfId="0" applyProtection="1"/>
    <xf numFmtId="1" applyNumberFormat="1" fontId="0" applyFont="1" borderId="1" applyBorder="1" xfId="0" applyProtection="1"/>
    <xf numFmtId="168" applyNumberFormat="1" fontId="0" applyFont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Bajo: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Moderado: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Alto: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7700: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Fallas graves (Major) cada 10 h de vuelo,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'Bajo'!$A$14:$A$18</c:f>
            </c:numRef>
          </c:cat>
          <c:val>
            <c:numRef>
              <c:f>'Bajo'!$C$14:$C$18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'Moderado'!$A$14:$A$18</c:f>
            </c:numRef>
          </c:cat>
          <c:val>
            <c:numRef>
              <c:f>'Moderado'!$C$14:$C$18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'Alto'!$A$14:$A$18</c:f>
            </c:numRef>
          </c:cat>
          <c:val>
            <c:numRef>
              <c:f>'Alto'!$C$14:$C$18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'7700'!$A$14:$A$18</c:f>
            </c:numRef>
          </c:cat>
          <c:val>
            <c:numRef>
              <c:f>'7700'!$C$14:$C$18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Fallas críticas (Critical) cada 100 h de vuelo,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'Bajo'!$A$14:$A$18</c:f>
            </c:numRef>
          </c:cat>
          <c:val>
            <c:numRef>
              <c:f>'Bajo'!$D$14:$D$18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'Moderado'!$A$14:$A$18</c:f>
            </c:numRef>
          </c:cat>
          <c:val>
            <c:numRef>
              <c:f>'Moderado'!$D$14:$D$18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'Alto'!$A$14:$A$18</c:f>
            </c:numRef>
          </c:cat>
          <c:val>
            <c:numRef>
              <c:f>'Alto'!$D$14:$D$18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'7700'!$A$14:$A$18</c:f>
            </c:numRef>
          </c:cat>
          <c:val>
            <c:numRef>
              <c:f>'7700'!$D$14:$D$18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Graves cada 10 h por perfil (desgaste 25 %)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ser xmlns="http://schemas.openxmlformats.org/drawingml/2006/chart">
          <c:idx val="0"/>
          <c:order val="0"/>
          <c:tx>
            <c:v>Graves / 10 h</c:v>
          </c:tx>
          <c:invertIfNegative val="0"/>
          <c:cat>
            <c:numRef>
              <c:f>'Resumen'!$A$6:$A$9</c:f>
            </c:numRef>
          </c:cat>
          <c:val>
            <c:numRef>
              <c:f>'Resumen'!$C$6:$C$9</c:f>
            </c:numRef>
          </c:val>
          <c:spPr>
            <a:solidFill>
              <a:srgbClr val="3B82F6"/>
            </a:solidFill>
          </c:spPr>
        </ser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Experiencia por vuelo: fallas esperadas en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'Gráficas'!$B$49:$B$53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'Gráficas'!$C$49:$C$53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'Gráficas'!$D$49:$D$53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'Gráficas'!$E$49:$E$53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/Relationships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0" name="Experiencia_Baj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1" name="Experiencia_Moderad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2" name="Experiencia_Alt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3" name="Experiencia_770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419100</xdr:colOff>
      <xdr:row>18</xdr:row>
      <xdr:rowOff>0</xdr:rowOff>
    </xdr:to>
    <graphicFrame xmlns="http://schemas.openxmlformats.org/drawingml/2006/spreadsheetDrawing" macro="">
      <xdr:nvGraphicFramePr>
        <xdr:cNvPr id="4" name="Graves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  <xdr:twoCellAnchor>
    <xdr:from>
      <xdr:col>10</xdr:col>
      <xdr:colOff>0</xdr:colOff>
      <xdr:row>2</xdr:row>
      <xdr:rowOff>0</xdr:rowOff>
    </xdr:from>
    <xdr:to>
      <xdr:col>19</xdr:col>
      <xdr:colOff>419100</xdr:colOff>
      <xdr:row>18</xdr:row>
      <xdr:rowOff>0</xdr:rowOff>
    </xdr:to>
    <graphicFrame xmlns="http://schemas.openxmlformats.org/drawingml/2006/spreadsheetDrawing" macro="">
      <xdr:nvGraphicFramePr>
        <xdr:cNvPr id="5" name="Criticas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xmlns="http://schemas.openxmlformats.org/drawingml/2006/spreadsheetDrawing"/>
  </xdr:twoCellAnchor>
  <xdr:twoCellAnchor>
    <xdr:from>
      <xdr:col>0</xdr:col>
      <xdr:colOff>0</xdr:colOff>
      <xdr:row>24</xdr:row>
      <xdr:rowOff>0</xdr:rowOff>
    </xdr:from>
    <xdr:to>
      <xdr:col>9</xdr:col>
      <xdr:colOff>419100</xdr:colOff>
      <xdr:row>40</xdr:row>
      <xdr:rowOff>0</xdr:rowOff>
    </xdr:to>
    <graphicFrame xmlns="http://schemas.openxmlformats.org/drawingml/2006/spreadsheetDrawing" macro="">
      <xdr:nvGraphicFramePr>
        <xdr:cNvPr id="6" name="GravesPorPerfi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xmlns="http://schemas.openxmlformats.org/drawingml/2006/spreadsheetDrawing"/>
  </xdr:twoCellAnchor>
  <xdr:twoCellAnchor>
    <xdr:from>
      <xdr:col>10</xdr:col>
      <xdr:colOff>0</xdr:colOff>
      <xdr:row>24</xdr:row>
      <xdr:rowOff>0</xdr:rowOff>
    </xdr:from>
    <xdr:to>
      <xdr:col>19</xdr:col>
      <xdr:colOff>419100</xdr:colOff>
      <xdr:row>40</xdr:row>
      <xdr:rowOff>0</xdr:rowOff>
    </xdr:to>
    <graphicFrame xmlns="http://schemas.openxmlformats.org/drawingml/2006/spreadsheetDrawing" macro="">
      <xdr:nvGraphicFramePr>
        <xdr:cNvPr id="7" name="Experiencia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xmlns="http://schemas.openxmlformats.org/drawingml/2006/spreadsheetDrawing"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O24"/>
  <sheetViews>
    <sheetView workbookViewId="0"/>
  </sheetViews>
  <sheetFormatPr defaultRowHeight="15"/>
  <cols>
    <col min="1" max="1" width="65.23560333251953" customWidth="1"/>
    <col min="2" max="2" width="13.4940767288208" customWidth="1"/>
    <col min="3" max="3" width="12.09656810760498" customWidth="1"/>
    <col min="4" max="4" width="17.720359802246094" customWidth="1"/>
    <col min="5" max="5" width="13.865448951721191" customWidth="1"/>
    <col min="6" max="6" width="20.73737907409668" customWidth="1"/>
    <col min="9" max="9" width="47.221466064453125" customWidth="1"/>
    <col min="10" max="10" width="9.505144119262695" customWidth="1"/>
    <col min="11" max="11" width="9.140625" customWidth="1"/>
    <col min="12" max="12" width="10.435111045837402" customWidth="1"/>
    <col min="13" max="13" width="11.525697708129883" customWidth="1"/>
    <col min="14" max="14" width="12.009608268737793" customWidth="1"/>
    <col min="15" max="15" width="13.120657920837402" customWidth="1"/>
  </cols>
  <sheetData>
    <row r="1">
      <c r="A1" s="2" t="s">
        <v>0</v>
      </c>
    </row>
    <row r="2">
      <c r="A2" s="3" t="s">
        <v>1</v>
      </c>
    </row>
    <row r="4">
      <c r="A4" s="1" t="s">
        <v>2</v>
      </c>
      <c r="I4" s="1" t="s">
        <v>3</v>
      </c>
    </row>
    <row r="5">
      <c r="A5" s="12" t="s">
        <v>4</v>
      </c>
      <c r="B5" s="12" t="s">
        <v>5</v>
      </c>
      <c r="C5" s="12" t="s">
        <v>6</v>
      </c>
      <c r="D5" s="12" t="s">
        <v>7</v>
      </c>
      <c r="E5" s="12" t="s">
        <v>8</v>
      </c>
      <c r="I5" s="12" t="s">
        <v>4</v>
      </c>
      <c r="J5" s="12" t="s">
        <v>9</v>
      </c>
      <c r="K5" s="12" t="s">
        <v>10</v>
      </c>
      <c r="L5" s="12" t="s">
        <v>11</v>
      </c>
      <c r="M5" s="12" t="s">
        <v>12</v>
      </c>
      <c r="N5" s="12" t="s">
        <v>13</v>
      </c>
      <c r="O5" s="12" t="s">
        <v>14</v>
      </c>
    </row>
    <row r="6">
      <c r="A6" s="22" t="s">
        <v>15</v>
      </c>
      <c r="B6" s="8">
        <v>1.125</v>
      </c>
      <c r="C6" s="8">
        <v>0.44999999999999996</v>
      </c>
      <c r="D6" s="10">
        <v>0</v>
      </c>
      <c r="E6" s="8">
        <v>1.5749999999999997</v>
      </c>
      <c r="I6" s="22" t="s">
        <v>15</v>
      </c>
      <c r="J6" s="6">
        <v>0</v>
      </c>
      <c r="K6" s="8">
        <v>0.378</v>
      </c>
      <c r="L6" s="13">
        <v>31.476949933412968</v>
      </c>
      <c r="M6" s="13">
        <v>10.237240356956512</v>
      </c>
      <c r="N6" s="15" t="s">
        <v>16</v>
      </c>
      <c r="O6" s="15" t="s">
        <v>16</v>
      </c>
    </row>
    <row r="7">
      <c r="A7" s="23" t="s">
        <v>17</v>
      </c>
      <c r="B7" s="8">
        <v>1.875</v>
      </c>
      <c r="C7" s="8">
        <v>0.7500000000000001</v>
      </c>
      <c r="D7" s="8">
        <v>0.22499999999999998</v>
      </c>
      <c r="E7" s="8">
        <v>2.8500000000000005</v>
      </c>
      <c r="I7" s="28" t="s">
        <v>15</v>
      </c>
      <c r="J7" s="7">
        <v>0.25</v>
      </c>
      <c r="K7" s="9">
        <v>0.4724999999999999</v>
      </c>
      <c r="L7" s="14">
        <v>37.65582858825108</v>
      </c>
      <c r="M7" s="14">
        <v>12.628408831196559</v>
      </c>
      <c r="N7" s="16" t="s">
        <v>16</v>
      </c>
      <c r="O7" s="16" t="s">
        <v>16</v>
      </c>
    </row>
    <row r="8">
      <c r="A8" s="24" t="s">
        <v>18</v>
      </c>
      <c r="B8" s="8">
        <v>2.8875</v>
      </c>
      <c r="C8" s="8">
        <v>1.155</v>
      </c>
      <c r="D8" s="8">
        <v>0.34650000000000003</v>
      </c>
      <c r="E8" s="8">
        <v>4.389</v>
      </c>
      <c r="I8" s="22" t="s">
        <v>15</v>
      </c>
      <c r="J8" s="6">
        <v>1</v>
      </c>
      <c r="K8" s="8">
        <v>0.756</v>
      </c>
      <c r="L8" s="13">
        <v>53.04591609572007</v>
      </c>
      <c r="M8" s="13">
        <v>19.426469812652037</v>
      </c>
      <c r="N8" s="15" t="s">
        <v>16</v>
      </c>
      <c r="O8" s="15" t="s">
        <v>16</v>
      </c>
    </row>
    <row r="9">
      <c r="A9" s="25" t="s">
        <v>19</v>
      </c>
      <c r="B9" s="8">
        <v>5.775</v>
      </c>
      <c r="C9" s="8">
        <v>2.31</v>
      </c>
      <c r="D9" s="8">
        <v>0.6930000000000001</v>
      </c>
      <c r="E9" s="8">
        <v>8.778</v>
      </c>
      <c r="I9" s="23" t="s">
        <v>17</v>
      </c>
      <c r="J9" s="6">
        <v>0</v>
      </c>
      <c r="K9" s="8">
        <v>0.6839999999999999</v>
      </c>
      <c r="L9" s="13">
        <v>49.54054280664488</v>
      </c>
      <c r="M9" s="13">
        <v>16.4729788588728</v>
      </c>
      <c r="N9" s="13">
        <v>5.256789349820168</v>
      </c>
      <c r="O9" s="18">
        <v>19</v>
      </c>
    </row>
    <row r="10">
      <c r="I10" s="29" t="s">
        <v>17</v>
      </c>
      <c r="J10" s="7">
        <v>0.25</v>
      </c>
      <c r="K10" s="9">
        <v>0.8550000000000001</v>
      </c>
      <c r="L10" s="14">
        <v>57.47168089177259</v>
      </c>
      <c r="M10" s="14">
        <v>20.148378124062294</v>
      </c>
      <c r="N10" s="14">
        <v>6.527227938397251</v>
      </c>
      <c r="O10" s="19">
        <v>15</v>
      </c>
    </row>
    <row r="11">
      <c r="I11" s="23" t="s">
        <v>17</v>
      </c>
      <c r="J11" s="6">
        <v>1</v>
      </c>
      <c r="K11" s="8">
        <v>1.3679999999999999</v>
      </c>
      <c r="L11" s="13">
        <v>74.53843179751962</v>
      </c>
      <c r="M11" s="13">
        <v>30.232367392896897</v>
      </c>
      <c r="N11" s="13">
        <v>10.237240356956512</v>
      </c>
      <c r="O11" s="18">
        <v>9</v>
      </c>
    </row>
    <row r="12">
      <c r="A12" s="1" t="s">
        <v>20</v>
      </c>
      <c r="I12" s="24" t="s">
        <v>18</v>
      </c>
      <c r="J12" s="6">
        <v>0</v>
      </c>
      <c r="K12" s="8">
        <v>0.9576</v>
      </c>
      <c r="L12" s="13">
        <v>61.61870674843213</v>
      </c>
      <c r="M12" s="13">
        <v>22.27552619310539</v>
      </c>
      <c r="N12" s="13">
        <v>7.28129928028104</v>
      </c>
      <c r="O12" s="18">
        <v>13</v>
      </c>
    </row>
    <row r="13">
      <c r="A13" s="12" t="s">
        <v>4</v>
      </c>
      <c r="B13" s="12" t="s">
        <v>21</v>
      </c>
      <c r="C13" s="12" t="s">
        <v>22</v>
      </c>
      <c r="D13" s="12" t="s">
        <v>23</v>
      </c>
      <c r="E13" s="12" t="s">
        <v>24</v>
      </c>
      <c r="F13" s="12" t="s">
        <v>25</v>
      </c>
      <c r="I13" s="30" t="s">
        <v>18</v>
      </c>
      <c r="J13" s="7">
        <v>0.25</v>
      </c>
      <c r="K13" s="9">
        <v>1.3167</v>
      </c>
      <c r="L13" s="14">
        <v>73.19816953846153</v>
      </c>
      <c r="M13" s="14">
        <v>29.284118071272868</v>
      </c>
      <c r="N13" s="14">
        <v>9.872964018737374</v>
      </c>
      <c r="O13" s="19">
        <v>10</v>
      </c>
    </row>
    <row r="14">
      <c r="A14" s="22" t="s">
        <v>15</v>
      </c>
      <c r="B14" s="8">
        <v>0.54</v>
      </c>
      <c r="C14" s="8">
        <v>0.36</v>
      </c>
      <c r="D14" s="8">
        <v>0.72</v>
      </c>
      <c r="E14" s="10">
        <v>0</v>
      </c>
      <c r="F14" s="26">
        <v>0</v>
      </c>
      <c r="I14" s="24" t="s">
        <v>18</v>
      </c>
      <c r="J14" s="6">
        <v>1</v>
      </c>
      <c r="K14" s="8">
        <v>2.394</v>
      </c>
      <c r="L14" s="13">
        <v>90.87361027969408</v>
      </c>
      <c r="M14" s="13">
        <v>46.74081989931028</v>
      </c>
      <c r="N14" s="13">
        <v>17.221349330526635</v>
      </c>
      <c r="O14" s="18">
        <v>5</v>
      </c>
    </row>
    <row r="15">
      <c r="A15" s="23" t="s">
        <v>17</v>
      </c>
      <c r="B15" s="8">
        <v>0.9</v>
      </c>
      <c r="C15" s="8">
        <v>0.6</v>
      </c>
      <c r="D15" s="8">
        <v>1.2</v>
      </c>
      <c r="E15" s="8">
        <v>0.27</v>
      </c>
      <c r="F15" s="27">
        <v>44.4</v>
      </c>
      <c r="I15" s="25" t="s">
        <v>19</v>
      </c>
      <c r="J15" s="6">
        <v>0</v>
      </c>
      <c r="K15" s="8">
        <v>1.5048000000000001</v>
      </c>
      <c r="L15" s="13">
        <v>77.79382982686424</v>
      </c>
      <c r="M15" s="13">
        <v>32.69933040626136</v>
      </c>
      <c r="N15" s="13">
        <v>11.201461992055773</v>
      </c>
      <c r="O15" s="18">
        <v>8</v>
      </c>
    </row>
    <row r="16">
      <c r="A16" s="24" t="s">
        <v>18</v>
      </c>
      <c r="B16" s="8">
        <v>1.47</v>
      </c>
      <c r="C16" s="8">
        <v>0.8400000000000001</v>
      </c>
      <c r="D16" s="8">
        <v>2.1</v>
      </c>
      <c r="E16" s="8">
        <v>0.441</v>
      </c>
      <c r="F16" s="27">
        <v>28.9</v>
      </c>
      <c r="I16" s="31" t="s">
        <v>19</v>
      </c>
      <c r="J16" s="7">
        <v>0.25</v>
      </c>
      <c r="K16" s="9">
        <v>2.6334</v>
      </c>
      <c r="L16" s="14">
        <v>92.8166188391095</v>
      </c>
      <c r="M16" s="14">
        <v>49.99264043042324</v>
      </c>
      <c r="N16" s="14">
        <v>18.771173852321922</v>
      </c>
      <c r="O16" s="19">
        <v>5</v>
      </c>
    </row>
    <row r="17">
      <c r="A17" s="25" t="s">
        <v>19</v>
      </c>
      <c r="B17" s="8">
        <v>3.3000000000000007</v>
      </c>
      <c r="C17" s="8">
        <v>1.32</v>
      </c>
      <c r="D17" s="8">
        <v>5.28</v>
      </c>
      <c r="E17" s="8">
        <v>0.9899999999999999</v>
      </c>
      <c r="F17" s="27">
        <v>14.4</v>
      </c>
      <c r="I17" s="25" t="s">
        <v>19</v>
      </c>
      <c r="J17" s="6">
        <v>1</v>
      </c>
      <c r="K17" s="8">
        <v>6.0192000000000005</v>
      </c>
      <c r="L17" s="13">
        <v>99.75683858915977</v>
      </c>
      <c r="M17" s="13">
        <v>79.48471565820229</v>
      </c>
      <c r="N17" s="13">
        <v>37.8239308109401</v>
      </c>
      <c r="O17" s="18">
        <v>2</v>
      </c>
    </row>
    <row r="20">
      <c r="A20" s="1" t="s">
        <v>26</v>
      </c>
    </row>
    <row r="21">
      <c r="A21" s="12" t="s">
        <v>27</v>
      </c>
      <c r="B21" s="12" t="s">
        <v>28</v>
      </c>
      <c r="C21" s="12" t="s">
        <v>29</v>
      </c>
      <c r="D21" s="12" t="s">
        <v>30</v>
      </c>
    </row>
    <row r="22">
      <c r="A22" s="15" t="s">
        <v>31</v>
      </c>
      <c r="B22" s="32">
        <v>84</v>
      </c>
      <c r="C22" s="32">
        <v>167</v>
      </c>
      <c r="D22" s="32">
        <v>267</v>
      </c>
    </row>
    <row r="23">
      <c r="A23" s="15" t="s">
        <v>32</v>
      </c>
      <c r="B23" s="32">
        <v>28</v>
      </c>
      <c r="C23" s="32">
        <v>56</v>
      </c>
      <c r="D23" s="32">
        <v>89</v>
      </c>
    </row>
    <row r="24">
      <c r="A24" s="15" t="s">
        <v>33</v>
      </c>
      <c r="B24" s="32">
        <v>14</v>
      </c>
      <c r="C24" s="32">
        <v>28</v>
      </c>
      <c r="D24" s="32">
        <v>45</v>
      </c>
    </row>
  </sheetData>
  <mergeCells>
    <mergeCell ref="A1:P1"/>
    <mergeCell ref="A2:P2"/>
  </mergeCell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34</v>
      </c>
    </row>
    <row r="2">
      <c r="A2" s="3" t="s">
        <v>35</v>
      </c>
    </row>
    <row r="4">
      <c r="A4" s="4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0.09</v>
      </c>
      <c r="C6" s="8">
        <v>0.036</v>
      </c>
      <c r="D6" s="10">
        <v>0</v>
      </c>
      <c r="E6" s="8">
        <v>0.126</v>
      </c>
      <c r="I6" s="6">
        <v>0</v>
      </c>
      <c r="J6" s="8">
        <v>0.13649880716424506</v>
      </c>
    </row>
    <row r="7">
      <c r="A7" s="7">
        <v>0.25</v>
      </c>
      <c r="B7" s="9">
        <v>0.11249999999999999</v>
      </c>
      <c r="C7" s="9">
        <v>0.045</v>
      </c>
      <c r="D7" s="11">
        <v>0</v>
      </c>
      <c r="E7" s="9">
        <v>0.15749999999999997</v>
      </c>
      <c r="I7" s="6">
        <v>0.25</v>
      </c>
      <c r="J7" s="8">
        <v>0.1676065056278613</v>
      </c>
    </row>
    <row r="8">
      <c r="A8" s="6">
        <v>0.5</v>
      </c>
      <c r="B8" s="8">
        <v>0.135</v>
      </c>
      <c r="C8" s="8">
        <v>0.054000000000000006</v>
      </c>
      <c r="D8" s="10">
        <v>0</v>
      </c>
      <c r="E8" s="8">
        <v>0.189</v>
      </c>
      <c r="I8" s="6">
        <v>0.5</v>
      </c>
      <c r="J8" s="8">
        <v>0.1975935468049191</v>
      </c>
    </row>
    <row r="9">
      <c r="A9" s="6">
        <v>0.75</v>
      </c>
      <c r="B9" s="8">
        <v>0.1575</v>
      </c>
      <c r="C9" s="8">
        <v>0.063</v>
      </c>
      <c r="D9" s="10">
        <v>0</v>
      </c>
      <c r="E9" s="8">
        <v>0.2205</v>
      </c>
      <c r="I9" s="6">
        <v>0.75</v>
      </c>
      <c r="J9" s="8">
        <v>0.2265003024624068</v>
      </c>
    </row>
    <row r="10">
      <c r="A10" s="6">
        <v>1</v>
      </c>
      <c r="B10" s="8">
        <v>0.18</v>
      </c>
      <c r="C10" s="8">
        <v>0.072</v>
      </c>
      <c r="D10" s="10">
        <v>0</v>
      </c>
      <c r="E10" s="8">
        <v>0.252</v>
      </c>
      <c r="I10" s="6">
        <v>1</v>
      </c>
      <c r="J10" s="8">
        <v>0.25436568997122827</v>
      </c>
    </row>
    <row r="12">
      <c r="A12" s="4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0.8999999999999999</v>
      </c>
      <c r="C14" s="8">
        <v>0.36</v>
      </c>
      <c r="D14" s="10">
        <v>0</v>
      </c>
      <c r="E14" s="8">
        <v>1.26</v>
      </c>
      <c r="I14" s="6">
        <v>0</v>
      </c>
      <c r="J14" s="8">
        <v>0.378</v>
      </c>
      <c r="K14" s="13">
        <v>31.476949933412968</v>
      </c>
      <c r="L14" s="13">
        <v>10.237240356956512</v>
      </c>
      <c r="M14" s="15" t="s">
        <v>16</v>
      </c>
      <c r="N14" s="15" t="s">
        <v>16</v>
      </c>
    </row>
    <row r="15">
      <c r="A15" s="7">
        <v>0.25</v>
      </c>
      <c r="B15" s="9">
        <v>1.125</v>
      </c>
      <c r="C15" s="9">
        <v>0.44999999999999996</v>
      </c>
      <c r="D15" s="11">
        <v>0</v>
      </c>
      <c r="E15" s="9">
        <v>1.5749999999999997</v>
      </c>
      <c r="I15" s="7">
        <v>0.25</v>
      </c>
      <c r="J15" s="9">
        <v>0.4724999999999999</v>
      </c>
      <c r="K15" s="14">
        <v>37.65582858825108</v>
      </c>
      <c r="L15" s="14">
        <v>12.628408831196559</v>
      </c>
      <c r="M15" s="16" t="s">
        <v>16</v>
      </c>
      <c r="N15" s="16" t="s">
        <v>16</v>
      </c>
    </row>
    <row r="16">
      <c r="A16" s="6">
        <v>0.5</v>
      </c>
      <c r="B16" s="8">
        <v>1.35</v>
      </c>
      <c r="C16" s="8">
        <v>0.54</v>
      </c>
      <c r="D16" s="10">
        <v>0</v>
      </c>
      <c r="E16" s="8">
        <v>1.8900000000000001</v>
      </c>
      <c r="I16" s="6">
        <v>0.5</v>
      </c>
      <c r="J16" s="8">
        <v>0.567</v>
      </c>
      <c r="K16" s="13">
        <v>43.27754375731159</v>
      </c>
      <c r="L16" s="13">
        <v>14.955879545976703</v>
      </c>
      <c r="M16" s="15" t="s">
        <v>16</v>
      </c>
      <c r="N16" s="15" t="s">
        <v>16</v>
      </c>
    </row>
    <row r="17">
      <c r="A17" s="6">
        <v>0.75</v>
      </c>
      <c r="B17" s="8">
        <v>1.575</v>
      </c>
      <c r="C17" s="8">
        <v>0.63</v>
      </c>
      <c r="D17" s="10">
        <v>0</v>
      </c>
      <c r="E17" s="8">
        <v>2.205</v>
      </c>
      <c r="I17" s="6">
        <v>0.75</v>
      </c>
      <c r="J17" s="8">
        <v>0.6615</v>
      </c>
      <c r="K17" s="13">
        <v>48.392336134290694</v>
      </c>
      <c r="L17" s="13">
        <v>17.221349330526635</v>
      </c>
      <c r="M17" s="15" t="s">
        <v>16</v>
      </c>
      <c r="N17" s="15" t="s">
        <v>16</v>
      </c>
    </row>
    <row r="18">
      <c r="A18" s="6">
        <v>1</v>
      </c>
      <c r="B18" s="8">
        <v>1.7999999999999998</v>
      </c>
      <c r="C18" s="8">
        <v>0.72</v>
      </c>
      <c r="D18" s="10">
        <v>0</v>
      </c>
      <c r="E18" s="8">
        <v>2.52</v>
      </c>
      <c r="I18" s="6">
        <v>1</v>
      </c>
      <c r="J18" s="8">
        <v>0.756</v>
      </c>
      <c r="K18" s="13">
        <v>53.04591609572007</v>
      </c>
      <c r="L18" s="13">
        <v>19.426469812652037</v>
      </c>
      <c r="M18" s="15" t="s">
        <v>16</v>
      </c>
      <c r="N18" s="15" t="s">
        <v>16</v>
      </c>
    </row>
    <row r="20">
      <c r="A20" s="4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9</v>
      </c>
      <c r="C22" s="8">
        <v>3.5999999999999996</v>
      </c>
      <c r="D22" s="10">
        <v>0</v>
      </c>
      <c r="E22" s="8">
        <v>12.6</v>
      </c>
      <c r="I22" s="6">
        <v>0</v>
      </c>
      <c r="J22" s="8">
        <v>0.27</v>
      </c>
      <c r="K22" s="8">
        <v>0.10799999999999998</v>
      </c>
      <c r="L22" s="10">
        <v>0</v>
      </c>
    </row>
    <row r="23">
      <c r="A23" s="7">
        <v>0.25</v>
      </c>
      <c r="B23" s="9">
        <v>11.249999999999998</v>
      </c>
      <c r="C23" s="9">
        <v>4.5</v>
      </c>
      <c r="D23" s="11">
        <v>0</v>
      </c>
      <c r="E23" s="9">
        <v>15.749999999999996</v>
      </c>
      <c r="I23" s="6">
        <v>0.25</v>
      </c>
      <c r="J23" s="8">
        <v>0.33749999999999997</v>
      </c>
      <c r="K23" s="8">
        <v>0.135</v>
      </c>
      <c r="L23" s="10">
        <v>0</v>
      </c>
    </row>
    <row r="24">
      <c r="A24" s="6">
        <v>0.5</v>
      </c>
      <c r="B24" s="8">
        <v>13.5</v>
      </c>
      <c r="C24" s="8">
        <v>5.4</v>
      </c>
      <c r="D24" s="10">
        <v>0</v>
      </c>
      <c r="E24" s="8">
        <v>18.9</v>
      </c>
      <c r="I24" s="6">
        <v>0.5</v>
      </c>
      <c r="J24" s="8">
        <v>0.405</v>
      </c>
      <c r="K24" s="8">
        <v>0.16200000000000003</v>
      </c>
      <c r="L24" s="10">
        <v>0</v>
      </c>
    </row>
    <row r="25">
      <c r="A25" s="6">
        <v>0.75</v>
      </c>
      <c r="B25" s="8">
        <v>15.75</v>
      </c>
      <c r="C25" s="8">
        <v>6.3</v>
      </c>
      <c r="D25" s="10">
        <v>0</v>
      </c>
      <c r="E25" s="8">
        <v>22.05</v>
      </c>
      <c r="I25" s="6">
        <v>0.75</v>
      </c>
      <c r="J25" s="8">
        <v>0.47250000000000003</v>
      </c>
      <c r="K25" s="8">
        <v>0.189</v>
      </c>
      <c r="L25" s="10">
        <v>0</v>
      </c>
    </row>
    <row r="26">
      <c r="A26" s="6">
        <v>1</v>
      </c>
      <c r="B26" s="8">
        <v>18</v>
      </c>
      <c r="C26" s="8">
        <v>7.199999999999999</v>
      </c>
      <c r="D26" s="10">
        <v>0</v>
      </c>
      <c r="E26" s="8">
        <v>25.2</v>
      </c>
      <c r="I26" s="6">
        <v>1</v>
      </c>
      <c r="J26" s="8">
        <v>0.54</v>
      </c>
      <c r="K26" s="8">
        <v>0.21599999999999997</v>
      </c>
      <c r="L26" s="10">
        <v>0</v>
      </c>
    </row>
  </sheetData>
  <mergeCells>
    <mergeCell ref="A1:P1"/>
    <mergeCell ref="A2:P2"/>
  </mergeCells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43</v>
      </c>
    </row>
    <row r="2">
      <c r="A2" s="3" t="s">
        <v>44</v>
      </c>
    </row>
    <row r="4">
      <c r="A4" s="17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0.15</v>
      </c>
      <c r="C6" s="8">
        <v>0.06</v>
      </c>
      <c r="D6" s="8">
        <v>0.018</v>
      </c>
      <c r="E6" s="8">
        <v>0.22799999999999998</v>
      </c>
      <c r="I6" s="6">
        <v>0</v>
      </c>
      <c r="J6" s="8">
        <v>0.24243850945225734</v>
      </c>
    </row>
    <row r="7">
      <c r="A7" s="7">
        <v>0.25</v>
      </c>
      <c r="B7" s="9">
        <v>0.1875</v>
      </c>
      <c r="C7" s="9">
        <v>0.07500000000000001</v>
      </c>
      <c r="D7" s="9">
        <v>0.0225</v>
      </c>
      <c r="E7" s="9">
        <v>0.28500000000000003</v>
      </c>
      <c r="I7" s="6">
        <v>0.25</v>
      </c>
      <c r="J7" s="8">
        <v>0.30165201826261484</v>
      </c>
    </row>
    <row r="8">
      <c r="A8" s="6">
        <v>0.5</v>
      </c>
      <c r="B8" s="8">
        <v>0.22499999999999998</v>
      </c>
      <c r="C8" s="8">
        <v>0.09</v>
      </c>
      <c r="D8" s="8">
        <v>0.026999999999999996</v>
      </c>
      <c r="E8" s="8">
        <v>0.34199999999999997</v>
      </c>
      <c r="I8" s="6">
        <v>0.5</v>
      </c>
      <c r="J8" s="8">
        <v>0.3600248618302144</v>
      </c>
    </row>
    <row r="9">
      <c r="A9" s="6">
        <v>0.75</v>
      </c>
      <c r="B9" s="8">
        <v>0.2625</v>
      </c>
      <c r="C9" s="8">
        <v>0.10500000000000001</v>
      </c>
      <c r="D9" s="8">
        <v>0.0315</v>
      </c>
      <c r="E9" s="8">
        <v>0.399</v>
      </c>
      <c r="I9" s="6">
        <v>0.75</v>
      </c>
      <c r="J9" s="8">
        <v>0.4174484238549685</v>
      </c>
    </row>
    <row r="10">
      <c r="A10" s="6">
        <v>1</v>
      </c>
      <c r="B10" s="8">
        <v>0.3</v>
      </c>
      <c r="C10" s="8">
        <v>0.12</v>
      </c>
      <c r="D10" s="8">
        <v>0.036</v>
      </c>
      <c r="E10" s="8">
        <v>0.45599999999999996</v>
      </c>
      <c r="I10" s="6">
        <v>1</v>
      </c>
      <c r="J10" s="8">
        <v>0.4738299317857949</v>
      </c>
    </row>
    <row r="12">
      <c r="A12" s="17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1.5</v>
      </c>
      <c r="C14" s="8">
        <v>0.6</v>
      </c>
      <c r="D14" s="8">
        <v>0.18</v>
      </c>
      <c r="E14" s="8">
        <v>2.28</v>
      </c>
      <c r="I14" s="6">
        <v>0</v>
      </c>
      <c r="J14" s="8">
        <v>0.6839999999999999</v>
      </c>
      <c r="K14" s="13">
        <v>49.54054280664488</v>
      </c>
      <c r="L14" s="13">
        <v>16.4729788588728</v>
      </c>
      <c r="M14" s="13">
        <v>5.256789349820168</v>
      </c>
      <c r="N14" s="18">
        <v>19</v>
      </c>
    </row>
    <row r="15">
      <c r="A15" s="7">
        <v>0.25</v>
      </c>
      <c r="B15" s="9">
        <v>1.875</v>
      </c>
      <c r="C15" s="9">
        <v>0.7500000000000001</v>
      </c>
      <c r="D15" s="9">
        <v>0.22499999999999998</v>
      </c>
      <c r="E15" s="9">
        <v>2.8500000000000005</v>
      </c>
      <c r="I15" s="7">
        <v>0.25</v>
      </c>
      <c r="J15" s="9">
        <v>0.8550000000000001</v>
      </c>
      <c r="K15" s="14">
        <v>57.47168089177259</v>
      </c>
      <c r="L15" s="14">
        <v>20.148378124062294</v>
      </c>
      <c r="M15" s="14">
        <v>6.527227938397251</v>
      </c>
      <c r="N15" s="19">
        <v>15</v>
      </c>
    </row>
    <row r="16">
      <c r="A16" s="6">
        <v>0.5</v>
      </c>
      <c r="B16" s="8">
        <v>2.25</v>
      </c>
      <c r="C16" s="8">
        <v>0.8999999999999999</v>
      </c>
      <c r="D16" s="8">
        <v>0.26999999999999996</v>
      </c>
      <c r="E16" s="8">
        <v>3.42</v>
      </c>
      <c r="I16" s="6">
        <v>0.5</v>
      </c>
      <c r="J16" s="8">
        <v>1.0259999999999998</v>
      </c>
      <c r="K16" s="13">
        <v>64.1562151721006</v>
      </c>
      <c r="L16" s="13">
        <v>23.662050566314687</v>
      </c>
      <c r="M16" s="13">
        <v>7.7806308555391945</v>
      </c>
      <c r="N16" s="18">
        <v>12</v>
      </c>
    </row>
    <row r="17">
      <c r="A17" s="6">
        <v>0.75</v>
      </c>
      <c r="B17" s="8">
        <v>2.625</v>
      </c>
      <c r="C17" s="8">
        <v>1.05</v>
      </c>
      <c r="D17" s="8">
        <v>0.315</v>
      </c>
      <c r="E17" s="8">
        <v>3.99</v>
      </c>
      <c r="I17" s="6">
        <v>0.75</v>
      </c>
      <c r="J17" s="8">
        <v>1.197</v>
      </c>
      <c r="K17" s="13">
        <v>69.79008487217166</v>
      </c>
      <c r="L17" s="13">
        <v>27.02111257309432</v>
      </c>
      <c r="M17" s="13">
        <v>9.017226537397004</v>
      </c>
      <c r="N17" s="18">
        <v>11</v>
      </c>
    </row>
    <row r="18">
      <c r="A18" s="6">
        <v>1</v>
      </c>
      <c r="B18" s="8">
        <v>3</v>
      </c>
      <c r="C18" s="8">
        <v>1.2</v>
      </c>
      <c r="D18" s="8">
        <v>0.36</v>
      </c>
      <c r="E18" s="8">
        <v>4.56</v>
      </c>
      <c r="I18" s="6">
        <v>1</v>
      </c>
      <c r="J18" s="8">
        <v>1.3679999999999999</v>
      </c>
      <c r="K18" s="13">
        <v>74.53843179751962</v>
      </c>
      <c r="L18" s="13">
        <v>30.232367392896897</v>
      </c>
      <c r="M18" s="13">
        <v>10.237240356956512</v>
      </c>
      <c r="N18" s="18">
        <v>9</v>
      </c>
    </row>
    <row r="20">
      <c r="A20" s="17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15</v>
      </c>
      <c r="C22" s="8">
        <v>6</v>
      </c>
      <c r="D22" s="8">
        <v>1.7999999999999998</v>
      </c>
      <c r="E22" s="8">
        <v>22.799999999999997</v>
      </c>
      <c r="I22" s="6">
        <v>0</v>
      </c>
      <c r="J22" s="8">
        <v>0.44999999999999996</v>
      </c>
      <c r="K22" s="8">
        <v>0.18</v>
      </c>
      <c r="L22" s="8">
        <v>0.05399999999999999</v>
      </c>
    </row>
    <row r="23">
      <c r="A23" s="7">
        <v>0.25</v>
      </c>
      <c r="B23" s="9">
        <v>18.75</v>
      </c>
      <c r="C23" s="9">
        <v>7.500000000000001</v>
      </c>
      <c r="D23" s="9">
        <v>2.25</v>
      </c>
      <c r="E23" s="9">
        <v>28.500000000000004</v>
      </c>
      <c r="I23" s="6">
        <v>0.25</v>
      </c>
      <c r="J23" s="8">
        <v>0.5625</v>
      </c>
      <c r="K23" s="8">
        <v>0.22500000000000003</v>
      </c>
      <c r="L23" s="8">
        <v>0.0675</v>
      </c>
    </row>
    <row r="24">
      <c r="A24" s="6">
        <v>0.5</v>
      </c>
      <c r="B24" s="8">
        <v>22.499999999999996</v>
      </c>
      <c r="C24" s="8">
        <v>9</v>
      </c>
      <c r="D24" s="8">
        <v>2.6999999999999997</v>
      </c>
      <c r="E24" s="8">
        <v>34.199999999999996</v>
      </c>
      <c r="I24" s="6">
        <v>0.5</v>
      </c>
      <c r="J24" s="8">
        <v>0.6749999999999999</v>
      </c>
      <c r="K24" s="8">
        <v>0.27</v>
      </c>
      <c r="L24" s="8">
        <v>0.08099999999999999</v>
      </c>
    </row>
    <row r="25">
      <c r="A25" s="6">
        <v>0.75</v>
      </c>
      <c r="B25" s="8">
        <v>26.25</v>
      </c>
      <c r="C25" s="8">
        <v>10.500000000000002</v>
      </c>
      <c r="D25" s="8">
        <v>3.15</v>
      </c>
      <c r="E25" s="8">
        <v>39.900000000000006</v>
      </c>
      <c r="I25" s="6">
        <v>0.75</v>
      </c>
      <c r="J25" s="8">
        <v>0.7875000000000001</v>
      </c>
      <c r="K25" s="8">
        <v>0.31500000000000006</v>
      </c>
      <c r="L25" s="8">
        <v>0.0945</v>
      </c>
    </row>
    <row r="26">
      <c r="A26" s="6">
        <v>1</v>
      </c>
      <c r="B26" s="8">
        <v>30</v>
      </c>
      <c r="C26" s="8">
        <v>12</v>
      </c>
      <c r="D26" s="8">
        <v>3.5999999999999996</v>
      </c>
      <c r="E26" s="8">
        <v>45.599999999999994</v>
      </c>
      <c r="I26" s="6">
        <v>1</v>
      </c>
      <c r="J26" s="8">
        <v>0.8999999999999999</v>
      </c>
      <c r="K26" s="8">
        <v>0.36</v>
      </c>
      <c r="L26" s="8">
        <v>0.10799999999999998</v>
      </c>
    </row>
  </sheetData>
  <mergeCells>
    <mergeCell ref="A1:P1"/>
    <mergeCell ref="A2:P2"/>
  </mergeCells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45</v>
      </c>
    </row>
    <row r="2">
      <c r="A2" s="3" t="s">
        <v>46</v>
      </c>
    </row>
    <row r="4">
      <c r="A4" s="20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0.21</v>
      </c>
      <c r="C6" s="8">
        <v>0.084</v>
      </c>
      <c r="D6" s="8">
        <v>0.025199999999999997</v>
      </c>
      <c r="E6" s="8">
        <v>0.3192</v>
      </c>
      <c r="I6" s="6">
        <v>0</v>
      </c>
      <c r="J6" s="8">
        <v>0.3419723512641555</v>
      </c>
    </row>
    <row r="7">
      <c r="A7" s="7">
        <v>0.25</v>
      </c>
      <c r="B7" s="9">
        <v>0.28875</v>
      </c>
      <c r="C7" s="9">
        <v>0.1155</v>
      </c>
      <c r="D7" s="9">
        <v>0.03465</v>
      </c>
      <c r="E7" s="9">
        <v>0.4389</v>
      </c>
      <c r="I7" s="6">
        <v>0.25</v>
      </c>
      <c r="J7" s="8">
        <v>0.46930409321289246</v>
      </c>
    </row>
    <row r="8">
      <c r="A8" s="6">
        <v>0.5</v>
      </c>
      <c r="B8" s="8">
        <v>0.3675</v>
      </c>
      <c r="C8" s="8">
        <v>0.147</v>
      </c>
      <c r="D8" s="8">
        <v>0.0441</v>
      </c>
      <c r="E8" s="8">
        <v>0.5586</v>
      </c>
      <c r="I8" s="6">
        <v>0.5</v>
      </c>
      <c r="J8" s="8">
        <v>0.5954918817616139</v>
      </c>
    </row>
    <row r="9">
      <c r="A9" s="6">
        <v>0.75</v>
      </c>
      <c r="B9" s="8">
        <v>0.44625</v>
      </c>
      <c r="C9" s="8">
        <v>0.1785</v>
      </c>
      <c r="D9" s="8">
        <v>0.05354999999999999</v>
      </c>
      <c r="E9" s="8">
        <v>0.6782999999999999</v>
      </c>
      <c r="I9" s="6">
        <v>0.75</v>
      </c>
      <c r="J9" s="8">
        <v>0.7200536319999247</v>
      </c>
    </row>
    <row r="10">
      <c r="A10" s="6">
        <v>1</v>
      </c>
      <c r="B10" s="8">
        <v>0.525</v>
      </c>
      <c r="C10" s="8">
        <v>0.21000000000000002</v>
      </c>
      <c r="D10" s="8">
        <v>0.063</v>
      </c>
      <c r="E10" s="8">
        <v>0.798</v>
      </c>
      <c r="I10" s="6">
        <v>1</v>
      </c>
      <c r="J10" s="8">
        <v>0.8425085348368556</v>
      </c>
    </row>
    <row r="12">
      <c r="A12" s="20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2.1</v>
      </c>
      <c r="C14" s="8">
        <v>0.8400000000000001</v>
      </c>
      <c r="D14" s="8">
        <v>0.25199999999999995</v>
      </c>
      <c r="E14" s="8">
        <v>3.1919999999999997</v>
      </c>
      <c r="I14" s="6">
        <v>0</v>
      </c>
      <c r="J14" s="8">
        <v>0.9576</v>
      </c>
      <c r="K14" s="13">
        <v>61.61870674843213</v>
      </c>
      <c r="L14" s="13">
        <v>22.27552619310539</v>
      </c>
      <c r="M14" s="13">
        <v>7.28129928028104</v>
      </c>
      <c r="N14" s="18">
        <v>13</v>
      </c>
    </row>
    <row r="15">
      <c r="A15" s="7">
        <v>0.25</v>
      </c>
      <c r="B15" s="9">
        <v>2.8875</v>
      </c>
      <c r="C15" s="9">
        <v>1.155</v>
      </c>
      <c r="D15" s="9">
        <v>0.34650000000000003</v>
      </c>
      <c r="E15" s="9">
        <v>4.389</v>
      </c>
      <c r="I15" s="7">
        <v>0.25</v>
      </c>
      <c r="J15" s="9">
        <v>1.3167</v>
      </c>
      <c r="K15" s="14">
        <v>73.19816953846153</v>
      </c>
      <c r="L15" s="14">
        <v>29.284118071272868</v>
      </c>
      <c r="M15" s="14">
        <v>9.872964018737374</v>
      </c>
      <c r="N15" s="19">
        <v>10</v>
      </c>
    </row>
    <row r="16">
      <c r="A16" s="6">
        <v>0.5</v>
      </c>
      <c r="B16" s="8">
        <v>3.675</v>
      </c>
      <c r="C16" s="8">
        <v>1.47</v>
      </c>
      <c r="D16" s="8">
        <v>0.441</v>
      </c>
      <c r="E16" s="8">
        <v>5.586</v>
      </c>
      <c r="I16" s="6">
        <v>0.5</v>
      </c>
      <c r="J16" s="8">
        <v>1.6758</v>
      </c>
      <c r="K16" s="13">
        <v>81.28416071389915</v>
      </c>
      <c r="L16" s="13">
        <v>35.66072934270438</v>
      </c>
      <c r="M16" s="13">
        <v>12.392186778774894</v>
      </c>
      <c r="N16" s="18">
        <v>8</v>
      </c>
    </row>
    <row r="17">
      <c r="A17" s="6">
        <v>0.75</v>
      </c>
      <c r="B17" s="8">
        <v>4.4624999999999995</v>
      </c>
      <c r="C17" s="8">
        <v>1.785</v>
      </c>
      <c r="D17" s="8">
        <v>0.5355</v>
      </c>
      <c r="E17" s="8">
        <v>6.7829999999999995</v>
      </c>
      <c r="I17" s="6">
        <v>0.75</v>
      </c>
      <c r="J17" s="8">
        <v>2.0348999999999995</v>
      </c>
      <c r="K17" s="13">
        <v>86.93064487943003</v>
      </c>
      <c r="L17" s="13">
        <v>41.46234713038173</v>
      </c>
      <c r="M17" s="13">
        <v>14.840992452023826</v>
      </c>
      <c r="N17" s="18">
        <v>6</v>
      </c>
    </row>
    <row r="18">
      <c r="A18" s="6">
        <v>1</v>
      </c>
      <c r="B18" s="8">
        <v>5.25</v>
      </c>
      <c r="C18" s="8">
        <v>2.1</v>
      </c>
      <c r="D18" s="8">
        <v>0.63</v>
      </c>
      <c r="E18" s="8">
        <v>7.98</v>
      </c>
      <c r="I18" s="6">
        <v>1</v>
      </c>
      <c r="J18" s="8">
        <v>2.394</v>
      </c>
      <c r="K18" s="13">
        <v>90.87361027969408</v>
      </c>
      <c r="L18" s="13">
        <v>46.74081989931028</v>
      </c>
      <c r="M18" s="13">
        <v>17.221349330526635</v>
      </c>
      <c r="N18" s="18">
        <v>5</v>
      </c>
    </row>
    <row r="20">
      <c r="A20" s="20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21</v>
      </c>
      <c r="C22" s="8">
        <v>8.4</v>
      </c>
      <c r="D22" s="8">
        <v>2.5199999999999996</v>
      </c>
      <c r="E22" s="8">
        <v>31.919999999999998</v>
      </c>
      <c r="I22" s="6">
        <v>0</v>
      </c>
      <c r="J22" s="8">
        <v>0.63</v>
      </c>
      <c r="K22" s="8">
        <v>0.252</v>
      </c>
      <c r="L22" s="8">
        <v>0.07559999999999999</v>
      </c>
    </row>
    <row r="23">
      <c r="A23" s="7">
        <v>0.25</v>
      </c>
      <c r="B23" s="9">
        <v>28.875</v>
      </c>
      <c r="C23" s="9">
        <v>11.55</v>
      </c>
      <c r="D23" s="9">
        <v>3.465</v>
      </c>
      <c r="E23" s="9">
        <v>43.89</v>
      </c>
      <c r="I23" s="6">
        <v>0.25</v>
      </c>
      <c r="J23" s="8">
        <v>0.86625</v>
      </c>
      <c r="K23" s="8">
        <v>0.34650000000000003</v>
      </c>
      <c r="L23" s="8">
        <v>0.10395</v>
      </c>
    </row>
    <row r="24">
      <c r="A24" s="6">
        <v>0.5</v>
      </c>
      <c r="B24" s="8">
        <v>36.75</v>
      </c>
      <c r="C24" s="8">
        <v>14.7</v>
      </c>
      <c r="D24" s="8">
        <v>4.41</v>
      </c>
      <c r="E24" s="8">
        <v>55.86</v>
      </c>
      <c r="I24" s="6">
        <v>0.5</v>
      </c>
      <c r="J24" s="8">
        <v>1.1025</v>
      </c>
      <c r="K24" s="8">
        <v>0.44099999999999995</v>
      </c>
      <c r="L24" s="8">
        <v>0.1323</v>
      </c>
    </row>
    <row r="25">
      <c r="A25" s="6">
        <v>0.75</v>
      </c>
      <c r="B25" s="8">
        <v>44.625</v>
      </c>
      <c r="C25" s="8">
        <v>17.849999999999998</v>
      </c>
      <c r="D25" s="8">
        <v>5.3549999999999995</v>
      </c>
      <c r="E25" s="8">
        <v>67.82999999999998</v>
      </c>
      <c r="I25" s="6">
        <v>0.75</v>
      </c>
      <c r="J25" s="8">
        <v>1.3387499999999999</v>
      </c>
      <c r="K25" s="8">
        <v>0.5355</v>
      </c>
      <c r="L25" s="8">
        <v>0.16065</v>
      </c>
    </row>
    <row r="26">
      <c r="A26" s="6">
        <v>1</v>
      </c>
      <c r="B26" s="8">
        <v>52.5</v>
      </c>
      <c r="C26" s="8">
        <v>21.000000000000004</v>
      </c>
      <c r="D26" s="8">
        <v>6.3</v>
      </c>
      <c r="E26" s="8">
        <v>79.80000000000001</v>
      </c>
      <c r="I26" s="6">
        <v>1</v>
      </c>
      <c r="J26" s="8">
        <v>1.5750000000000002</v>
      </c>
      <c r="K26" s="8">
        <v>0.6300000000000001</v>
      </c>
      <c r="L26" s="8">
        <v>0.189</v>
      </c>
    </row>
  </sheetData>
  <mergeCells>
    <mergeCell ref="A1:P1"/>
    <mergeCell ref="A2:P2"/>
  </mergeCells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47</v>
      </c>
    </row>
    <row r="2">
      <c r="A2" s="3" t="s">
        <v>48</v>
      </c>
    </row>
    <row r="4">
      <c r="A4" s="21" t="s">
        <v>36</v>
      </c>
      <c r="I4" s="1" t="s">
        <v>37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38</v>
      </c>
    </row>
    <row r="6">
      <c r="A6" s="6">
        <v>0</v>
      </c>
      <c r="B6" s="8">
        <v>0.33</v>
      </c>
      <c r="C6" s="8">
        <v>0.132</v>
      </c>
      <c r="D6" s="8">
        <v>0.0396</v>
      </c>
      <c r="E6" s="8">
        <v>0.5016</v>
      </c>
      <c r="I6" s="6">
        <v>0</v>
      </c>
      <c r="J6" s="8">
        <v>0.5380969514687323</v>
      </c>
    </row>
    <row r="7">
      <c r="A7" s="7">
        <v>0.25</v>
      </c>
      <c r="B7" s="9">
        <v>0.5775</v>
      </c>
      <c r="C7" s="9">
        <v>0.231</v>
      </c>
      <c r="D7" s="9">
        <v>0.0693</v>
      </c>
      <c r="E7" s="9">
        <v>0.8778</v>
      </c>
      <c r="I7" s="6">
        <v>0.25</v>
      </c>
      <c r="J7" s="8">
        <v>0.9412098500198062</v>
      </c>
    </row>
    <row r="8">
      <c r="A8" s="6">
        <v>0.5</v>
      </c>
      <c r="B8" s="8">
        <v>0.8250000000000001</v>
      </c>
      <c r="C8" s="8">
        <v>0.33000000000000007</v>
      </c>
      <c r="D8" s="8">
        <v>0.099</v>
      </c>
      <c r="E8" s="8">
        <v>1.2540000000000002</v>
      </c>
      <c r="I8" s="6">
        <v>0.5</v>
      </c>
      <c r="J8" s="8">
        <v>1.3420737132209009</v>
      </c>
    </row>
    <row r="9">
      <c r="A9" s="6">
        <v>0.75</v>
      </c>
      <c r="B9" s="8">
        <v>1.0725</v>
      </c>
      <c r="C9" s="8">
        <v>0.42900000000000005</v>
      </c>
      <c r="D9" s="8">
        <v>0.1287</v>
      </c>
      <c r="E9" s="8">
        <v>1.6302</v>
      </c>
      <c r="I9" s="6">
        <v>0.75</v>
      </c>
      <c r="J9" s="8">
        <v>1.737016465278785</v>
      </c>
    </row>
    <row r="10">
      <c r="A10" s="6">
        <v>1</v>
      </c>
      <c r="B10" s="8">
        <v>1.32</v>
      </c>
      <c r="C10" s="8">
        <v>0.528</v>
      </c>
      <c r="D10" s="8">
        <v>0.1584</v>
      </c>
      <c r="E10" s="8">
        <v>2.0064</v>
      </c>
      <c r="I10" s="6">
        <v>1</v>
      </c>
      <c r="J10" s="8">
        <v>2.1208613717224276</v>
      </c>
    </row>
    <row r="12">
      <c r="A12" s="21" t="s">
        <v>39</v>
      </c>
      <c r="I12" s="1" t="s">
        <v>40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3.3000000000000003</v>
      </c>
      <c r="C14" s="8">
        <v>1.32</v>
      </c>
      <c r="D14" s="8">
        <v>0.396</v>
      </c>
      <c r="E14" s="8">
        <v>5.016</v>
      </c>
      <c r="I14" s="6">
        <v>0</v>
      </c>
      <c r="J14" s="8">
        <v>1.5048000000000001</v>
      </c>
      <c r="K14" s="13">
        <v>77.79382982686424</v>
      </c>
      <c r="L14" s="13">
        <v>32.69933040626136</v>
      </c>
      <c r="M14" s="13">
        <v>11.201461992055773</v>
      </c>
      <c r="N14" s="18">
        <v>8</v>
      </c>
    </row>
    <row r="15">
      <c r="A15" s="7">
        <v>0.25</v>
      </c>
      <c r="B15" s="9">
        <v>5.775</v>
      </c>
      <c r="C15" s="9">
        <v>2.31</v>
      </c>
      <c r="D15" s="9">
        <v>0.6930000000000001</v>
      </c>
      <c r="E15" s="9">
        <v>8.778</v>
      </c>
      <c r="I15" s="7">
        <v>0.25</v>
      </c>
      <c r="J15" s="9">
        <v>2.6334</v>
      </c>
      <c r="K15" s="14">
        <v>92.8166188391095</v>
      </c>
      <c r="L15" s="14">
        <v>49.99264043042324</v>
      </c>
      <c r="M15" s="14">
        <v>18.771173852321922</v>
      </c>
      <c r="N15" s="19">
        <v>5</v>
      </c>
    </row>
    <row r="16">
      <c r="A16" s="6">
        <v>0.5</v>
      </c>
      <c r="B16" s="8">
        <v>8.25</v>
      </c>
      <c r="C16" s="8">
        <v>3.3000000000000007</v>
      </c>
      <c r="D16" s="8">
        <v>0.99</v>
      </c>
      <c r="E16" s="8">
        <v>12.540000000000003</v>
      </c>
      <c r="I16" s="6">
        <v>0.5</v>
      </c>
      <c r="J16" s="8">
        <v>3.7620000000000005</v>
      </c>
      <c r="K16" s="13">
        <v>97.67627805694015</v>
      </c>
      <c r="L16" s="13">
        <v>62.84233089779544</v>
      </c>
      <c r="M16" s="13">
        <v>25.695598763806014</v>
      </c>
      <c r="N16" s="18">
        <v>3</v>
      </c>
    </row>
    <row r="17">
      <c r="A17" s="6">
        <v>0.75</v>
      </c>
      <c r="B17" s="8">
        <v>10.725</v>
      </c>
      <c r="C17" s="8">
        <v>4.290000000000001</v>
      </c>
      <c r="D17" s="8">
        <v>1.2870000000000001</v>
      </c>
      <c r="E17" s="8">
        <v>16.302</v>
      </c>
      <c r="I17" s="6">
        <v>0.75</v>
      </c>
      <c r="J17" s="8">
        <v>4.8906</v>
      </c>
      <c r="K17" s="13">
        <v>99.24830890249065</v>
      </c>
      <c r="L17" s="13">
        <v>72.39021646028064</v>
      </c>
      <c r="M17" s="13">
        <v>32.029744797350766</v>
      </c>
      <c r="N17" s="18">
        <v>3</v>
      </c>
    </row>
    <row r="18">
      <c r="A18" s="6">
        <v>1</v>
      </c>
      <c r="B18" s="8">
        <v>13.200000000000001</v>
      </c>
      <c r="C18" s="8">
        <v>5.28</v>
      </c>
      <c r="D18" s="8">
        <v>1.584</v>
      </c>
      <c r="E18" s="8">
        <v>20.064</v>
      </c>
      <c r="I18" s="6">
        <v>1</v>
      </c>
      <c r="J18" s="8">
        <v>6.0192000000000005</v>
      </c>
      <c r="K18" s="13">
        <v>99.75683858915977</v>
      </c>
      <c r="L18" s="13">
        <v>79.48471565820229</v>
      </c>
      <c r="M18" s="13">
        <v>37.8239308109401</v>
      </c>
      <c r="N18" s="18">
        <v>2</v>
      </c>
    </row>
    <row r="20">
      <c r="A20" s="21" t="s">
        <v>41</v>
      </c>
      <c r="I20" s="1" t="s">
        <v>42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33</v>
      </c>
      <c r="C22" s="8">
        <v>13.200000000000001</v>
      </c>
      <c r="D22" s="8">
        <v>3.9600000000000004</v>
      </c>
      <c r="E22" s="8">
        <v>50.160000000000004</v>
      </c>
      <c r="I22" s="6">
        <v>0</v>
      </c>
      <c r="J22" s="8">
        <v>0.99</v>
      </c>
      <c r="K22" s="8">
        <v>0.396</v>
      </c>
      <c r="L22" s="8">
        <v>0.11880000000000002</v>
      </c>
    </row>
    <row r="23">
      <c r="A23" s="7">
        <v>0.25</v>
      </c>
      <c r="B23" s="9">
        <v>57.75</v>
      </c>
      <c r="C23" s="9">
        <v>23.1</v>
      </c>
      <c r="D23" s="9">
        <v>6.93</v>
      </c>
      <c r="E23" s="9">
        <v>87.78</v>
      </c>
      <c r="I23" s="6">
        <v>0.25</v>
      </c>
      <c r="J23" s="8">
        <v>1.7325</v>
      </c>
      <c r="K23" s="8">
        <v>0.6930000000000001</v>
      </c>
      <c r="L23" s="8">
        <v>0.2079</v>
      </c>
    </row>
    <row r="24">
      <c r="A24" s="6">
        <v>0.5</v>
      </c>
      <c r="B24" s="8">
        <v>82.5</v>
      </c>
      <c r="C24" s="8">
        <v>33.00000000000001</v>
      </c>
      <c r="D24" s="8">
        <v>9.9</v>
      </c>
      <c r="E24" s="8">
        <v>125.40000000000002</v>
      </c>
      <c r="I24" s="6">
        <v>0.5</v>
      </c>
      <c r="J24" s="8">
        <v>2.475</v>
      </c>
      <c r="K24" s="8">
        <v>0.9900000000000002</v>
      </c>
      <c r="L24" s="8">
        <v>0.29700000000000004</v>
      </c>
    </row>
    <row r="25">
      <c r="A25" s="6">
        <v>0.75</v>
      </c>
      <c r="B25" s="8">
        <v>107.25</v>
      </c>
      <c r="C25" s="8">
        <v>42.900000000000006</v>
      </c>
      <c r="D25" s="8">
        <v>12.870000000000001</v>
      </c>
      <c r="E25" s="8">
        <v>163.02</v>
      </c>
      <c r="I25" s="6">
        <v>0.75</v>
      </c>
      <c r="J25" s="8">
        <v>3.2175000000000002</v>
      </c>
      <c r="K25" s="8">
        <v>1.2870000000000001</v>
      </c>
      <c r="L25" s="8">
        <v>0.3861</v>
      </c>
    </row>
    <row r="26">
      <c r="A26" s="6">
        <v>1</v>
      </c>
      <c r="B26" s="8">
        <v>132</v>
      </c>
      <c r="C26" s="8">
        <v>52.800000000000004</v>
      </c>
      <c r="D26" s="8">
        <v>15.840000000000002</v>
      </c>
      <c r="E26" s="8">
        <v>200.64000000000001</v>
      </c>
      <c r="I26" s="6">
        <v>1</v>
      </c>
      <c r="J26" s="8">
        <v>3.96</v>
      </c>
      <c r="K26" s="8">
        <v>1.584</v>
      </c>
      <c r="L26" s="8">
        <v>0.47520000000000007</v>
      </c>
    </row>
  </sheetData>
  <mergeCells>
    <mergeCell ref="A1:P1"/>
    <mergeCell ref="A2:P2"/>
  </mergeCells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E53"/>
  <sheetViews>
    <sheetView workbookViewId="0"/>
  </sheetViews>
  <sheetFormatPr defaultRowHeight="15"/>
  <sheetData>
    <row r="1">
      <c r="A1" s="2" t="s">
        <v>49</v>
      </c>
    </row>
    <row r="47">
      <c r="A47" s="1" t="s">
        <v>50</v>
      </c>
    </row>
    <row r="48">
      <c r="A48" s="12" t="s">
        <v>9</v>
      </c>
      <c r="B48" s="12" t="s">
        <v>15</v>
      </c>
      <c r="C48" s="12" t="s">
        <v>17</v>
      </c>
      <c r="D48" s="12" t="s">
        <v>18</v>
      </c>
      <c r="E48" s="12" t="s">
        <v>19</v>
      </c>
    </row>
    <row r="49">
      <c r="A49" s="6">
        <v>0</v>
      </c>
      <c r="B49" s="8">
        <v>0.378</v>
      </c>
      <c r="C49" s="8">
        <v>0.6839999999999999</v>
      </c>
      <c r="D49" s="8">
        <v>0.9576</v>
      </c>
      <c r="E49" s="8">
        <v>1.5048000000000001</v>
      </c>
    </row>
    <row r="50">
      <c r="A50" s="6">
        <v>0.25</v>
      </c>
      <c r="B50" s="8">
        <v>0.4724999999999999</v>
      </c>
      <c r="C50" s="8">
        <v>0.8550000000000001</v>
      </c>
      <c r="D50" s="8">
        <v>1.3167</v>
      </c>
      <c r="E50" s="8">
        <v>2.6334</v>
      </c>
    </row>
    <row r="51">
      <c r="A51" s="6">
        <v>0.5</v>
      </c>
      <c r="B51" s="8">
        <v>0.567</v>
      </c>
      <c r="C51" s="8">
        <v>1.0259999999999998</v>
      </c>
      <c r="D51" s="8">
        <v>1.6758</v>
      </c>
      <c r="E51" s="8">
        <v>3.7620000000000005</v>
      </c>
    </row>
    <row r="52">
      <c r="A52" s="6">
        <v>0.75</v>
      </c>
      <c r="B52" s="8">
        <v>0.6615</v>
      </c>
      <c r="C52" s="8">
        <v>1.197</v>
      </c>
      <c r="D52" s="8">
        <v>2.0348999999999995</v>
      </c>
      <c r="E52" s="8">
        <v>4.8906</v>
      </c>
    </row>
    <row r="53">
      <c r="A53" s="6">
        <v>1</v>
      </c>
      <c r="B53" s="8">
        <v>0.756</v>
      </c>
      <c r="C53" s="8">
        <v>1.3679999999999999</v>
      </c>
      <c r="D53" s="8">
        <v>2.394</v>
      </c>
      <c r="E53" s="8">
        <v>6.0192000000000005</v>
      </c>
    </row>
  </sheetData>
  <mergeCells>
    <mergeCell ref="A1:J1"/>
  </mergeCells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I27"/>
  <sheetViews>
    <sheetView workbookViewId="0"/>
  </sheetViews>
  <sheetFormatPr defaultRowHeight="15"/>
  <cols>
    <col min="1" max="1" width="74.61198425292969" customWidth="1"/>
    <col min="2" max="2" width="9.140625" customWidth="1"/>
    <col min="4" max="4" width="34.38507080078125" customWidth="1"/>
    <col min="5" max="5" width="13.5370454788208" customWidth="1"/>
    <col min="6" max="6" width="13.805088996887207" customWidth="1"/>
    <col min="7" max="7" width="16.13153839111328" customWidth="1"/>
    <col min="8" max="8" width="11.337454795837402" customWidth="1"/>
    <col min="9" max="9" width="13.5155611038208" customWidth="1"/>
  </cols>
  <sheetData>
    <row r="1">
      <c r="A1" s="2" t="s">
        <v>51</v>
      </c>
    </row>
    <row r="2">
      <c r="A2" s="3" t="s">
        <v>52</v>
      </c>
    </row>
    <row r="4">
      <c r="A4" s="1" t="s">
        <v>53</v>
      </c>
      <c r="D4" s="1" t="s">
        <v>54</v>
      </c>
    </row>
    <row r="5">
      <c r="A5" s="5" t="s">
        <v>55</v>
      </c>
      <c r="B5" s="5" t="s">
        <v>56</v>
      </c>
      <c r="D5" s="12" t="s">
        <v>4</v>
      </c>
      <c r="E5" s="12" t="s">
        <v>57</v>
      </c>
      <c r="F5" s="12" t="s">
        <v>58</v>
      </c>
      <c r="G5" s="12" t="s">
        <v>59</v>
      </c>
      <c r="H5" s="12" t="s">
        <v>60</v>
      </c>
      <c r="I5" s="12" t="s">
        <v>61</v>
      </c>
    </row>
    <row r="6">
      <c r="A6" s="15" t="s">
        <v>62</v>
      </c>
      <c r="B6" s="8">
        <v>0.15</v>
      </c>
      <c r="D6" s="22" t="s">
        <v>15</v>
      </c>
      <c r="E6" s="8">
        <v>0.6</v>
      </c>
      <c r="F6" s="8">
        <v>2</v>
      </c>
      <c r="G6" s="32">
        <v>3</v>
      </c>
      <c r="H6" s="32">
        <v>1</v>
      </c>
      <c r="I6" s="15" t="s">
        <v>16</v>
      </c>
    </row>
    <row r="7">
      <c r="A7" s="15" t="s">
        <v>63</v>
      </c>
      <c r="B7" s="33">
        <v>0.001</v>
      </c>
      <c r="D7" s="23" t="s">
        <v>17</v>
      </c>
      <c r="E7" s="8">
        <v>1</v>
      </c>
      <c r="F7" s="8">
        <v>2</v>
      </c>
      <c r="G7" s="32">
        <v>5</v>
      </c>
      <c r="H7" s="32">
        <v>2</v>
      </c>
      <c r="I7" s="15" t="s">
        <v>64</v>
      </c>
    </row>
    <row r="8">
      <c r="A8" s="15" t="s">
        <v>65</v>
      </c>
      <c r="B8" s="8">
        <v>1</v>
      </c>
      <c r="D8" s="24" t="s">
        <v>18</v>
      </c>
      <c r="E8" s="8">
        <v>1.4</v>
      </c>
      <c r="F8" s="8">
        <v>2.5</v>
      </c>
      <c r="G8" s="32">
        <v>8</v>
      </c>
      <c r="H8" s="32">
        <v>3</v>
      </c>
      <c r="I8" s="15" t="s">
        <v>66</v>
      </c>
    </row>
    <row r="9">
      <c r="A9" s="15" t="s">
        <v>67</v>
      </c>
      <c r="B9" s="8">
        <v>0.4</v>
      </c>
      <c r="D9" s="25" t="s">
        <v>19</v>
      </c>
      <c r="E9" s="8">
        <v>2.2</v>
      </c>
      <c r="F9" s="8">
        <v>4</v>
      </c>
      <c r="G9" s="32">
        <v>10</v>
      </c>
      <c r="H9" s="32">
        <v>5</v>
      </c>
      <c r="I9" s="15" t="s">
        <v>68</v>
      </c>
    </row>
    <row r="10">
      <c r="A10" s="15" t="s">
        <v>69</v>
      </c>
      <c r="B10" s="8">
        <v>0.12</v>
      </c>
    </row>
    <row r="11">
      <c r="A11" s="15" t="s">
        <v>70</v>
      </c>
      <c r="B11" s="32">
        <v>1</v>
      </c>
    </row>
    <row r="12">
      <c r="A12" s="15" t="s">
        <v>71</v>
      </c>
      <c r="B12" s="32">
        <v>2</v>
      </c>
    </row>
    <row r="13">
      <c r="A13" s="15" t="s">
        <v>72</v>
      </c>
      <c r="B13" s="32">
        <v>4</v>
      </c>
    </row>
    <row r="14">
      <c r="A14" s="15" t="s">
        <v>73</v>
      </c>
      <c r="B14" s="32">
        <v>1</v>
      </c>
    </row>
    <row r="15">
      <c r="A15" s="1" t="s">
        <v>74</v>
      </c>
    </row>
    <row r="16">
      <c r="A16" s="5" t="s">
        <v>55</v>
      </c>
      <c r="B16" s="5" t="s">
        <v>56</v>
      </c>
    </row>
    <row r="17">
      <c r="A17" s="15" t="s">
        <v>75</v>
      </c>
      <c r="B17" s="32">
        <v>60</v>
      </c>
    </row>
    <row r="18">
      <c r="A18" s="15" t="s">
        <v>76</v>
      </c>
      <c r="B18" s="32">
        <v>5</v>
      </c>
    </row>
    <row r="19">
      <c r="A19" s="15" t="s">
        <v>77</v>
      </c>
      <c r="B19" s="15" t="s">
        <v>78</v>
      </c>
    </row>
    <row r="20">
      <c r="A20" s="15" t="s">
        <v>79</v>
      </c>
      <c r="B20" s="32">
        <v>50</v>
      </c>
    </row>
    <row r="21">
      <c r="A21" s="15" t="s">
        <v>80</v>
      </c>
      <c r="B21" s="32">
        <v>300</v>
      </c>
    </row>
    <row r="22">
      <c r="A22" s="1" t="s">
        <v>81</v>
      </c>
    </row>
    <row r="23">
      <c r="A23" s="5" t="s">
        <v>55</v>
      </c>
      <c r="B23" s="5" t="s">
        <v>56</v>
      </c>
    </row>
    <row r="24">
      <c r="A24" s="15" t="s">
        <v>82</v>
      </c>
      <c r="B24" s="32">
        <v>80</v>
      </c>
    </row>
    <row r="25">
      <c r="A25" s="15" t="s">
        <v>83</v>
      </c>
      <c r="B25" s="32">
        <v>0</v>
      </c>
    </row>
    <row r="26">
      <c r="A26" s="15" t="s">
        <v>84</v>
      </c>
      <c r="B26" s="8">
        <v>2</v>
      </c>
    </row>
    <row r="27">
      <c r="A27" s="15" t="s">
        <v>85</v>
      </c>
      <c r="B27" s="8">
        <v>0.5</v>
      </c>
    </row>
  </sheetData>
  <mergeCells>
    <mergeCell ref="A1:F1"/>
    <mergeCell ref="A2:F2"/>
  </mergeCells>
  <headerFooter/>
</worksheet>
</file>